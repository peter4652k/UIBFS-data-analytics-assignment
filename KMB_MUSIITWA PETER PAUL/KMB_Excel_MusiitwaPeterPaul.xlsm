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.G\Downloads\New folder\"/>
    </mc:Choice>
  </mc:AlternateContent>
  <xr:revisionPtr revIDLastSave="0" documentId="13_ncr:1_{3507407D-C0EC-4657-B91F-D7F52E38EA6D}" xr6:coauthVersionLast="47" xr6:coauthVersionMax="47" xr10:uidLastSave="{00000000-0000-0000-0000-000000000000}"/>
  <bookViews>
    <workbookView xWindow="-120" yWindow="-120" windowWidth="20730" windowHeight="11160" firstSheet="3" activeTab="7" xr2:uid="{00000000-000D-0000-FFFF-FFFF00000000}"/>
  </bookViews>
  <sheets>
    <sheet name="READ_ME" sheetId="1" r:id="rId1"/>
    <sheet name="Branches" sheetId="2" r:id="rId2"/>
    <sheet name="Customers" sheetId="3" r:id="rId3"/>
    <sheet name="controls" sheetId="8" r:id="rId4"/>
    <sheet name="filtered Loan_Applications" sheetId="7" r:id="rId5"/>
    <sheet name="Loan_Applications" sheetId="4" r:id="rId6"/>
    <sheet name="Repayments" sheetId="5" r:id="rId7"/>
    <sheet name="Excel_Tasks" sheetId="6" r:id="rId8"/>
  </sheets>
  <definedNames>
    <definedName name="_xlnm._FilterDatabase" localSheetId="2" hidden="1">Customers!$A$1:$K$121</definedName>
    <definedName name="_xlnm._FilterDatabase" localSheetId="4" hidden="1">'filtered Loan_Applications'!$A$1:$T$1</definedName>
    <definedName name="_xlnm._FilterDatabase" localSheetId="5" hidden="1">Loan_Applications!$A$1:$V$201</definedName>
    <definedName name="_xlnm._FilterDatabase" localSheetId="6" hidden="1">Repayments!$A$1:$I$401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4" l="1" a="1"/>
  <c r="H2" i="4" s="1"/>
  <c r="G2" i="4" a="1"/>
  <c r="G2" i="4" s="1"/>
  <c r="C9" i="6"/>
  <c r="C10" i="6"/>
  <c r="O43" i="4"/>
  <c r="O94" i="4"/>
  <c r="O9" i="4"/>
  <c r="O108" i="4"/>
  <c r="O116" i="4"/>
  <c r="O20" i="4"/>
  <c r="O13" i="4"/>
  <c r="O102" i="4"/>
  <c r="O132" i="4"/>
  <c r="O140" i="4"/>
  <c r="O165" i="4"/>
  <c r="O111" i="4"/>
  <c r="O144" i="4"/>
  <c r="O82" i="4"/>
  <c r="O126" i="4"/>
  <c r="O2" i="4"/>
  <c r="O166" i="4"/>
  <c r="O66" i="4"/>
  <c r="O84" i="4"/>
  <c r="O127" i="4"/>
  <c r="O11" i="4"/>
  <c r="O149" i="4"/>
  <c r="O59" i="4"/>
  <c r="O158" i="4"/>
  <c r="O167" i="4"/>
  <c r="O48" i="4"/>
  <c r="O12" i="4"/>
  <c r="O114" i="4"/>
  <c r="O68" i="4"/>
  <c r="O120" i="4"/>
  <c r="O10" i="4"/>
  <c r="O159" i="4"/>
  <c r="O32" i="4"/>
  <c r="O75" i="4"/>
  <c r="O99" i="4"/>
  <c r="O168" i="4"/>
  <c r="O169" i="4"/>
  <c r="O90" i="4"/>
  <c r="O170" i="4"/>
  <c r="O5" i="4"/>
  <c r="O41" i="4"/>
  <c r="O72" i="4"/>
  <c r="O83" i="4"/>
  <c r="O171" i="4"/>
  <c r="O157" i="4"/>
  <c r="O150" i="4"/>
  <c r="O172" i="4"/>
  <c r="O147" i="4"/>
  <c r="O81" i="4"/>
  <c r="O34" i="4"/>
  <c r="O173" i="4"/>
  <c r="O79" i="4"/>
  <c r="O105" i="4"/>
  <c r="O37" i="4"/>
  <c r="O160" i="4"/>
  <c r="O161" i="4"/>
  <c r="O151" i="4"/>
  <c r="O33" i="4"/>
  <c r="O110" i="4"/>
  <c r="O65" i="4"/>
  <c r="O39" i="4"/>
  <c r="O28" i="4"/>
  <c r="O8" i="4"/>
  <c r="O53" i="4"/>
  <c r="O26" i="4"/>
  <c r="O123" i="4"/>
  <c r="O145" i="4"/>
  <c r="O52" i="4"/>
  <c r="O67" i="4"/>
  <c r="O74" i="4"/>
  <c r="O135" i="4"/>
  <c r="O54" i="4"/>
  <c r="O112" i="4"/>
  <c r="O44" i="4"/>
  <c r="O106" i="4"/>
  <c r="O128" i="4"/>
  <c r="O88" i="4"/>
  <c r="O174" i="4"/>
  <c r="O138" i="4"/>
  <c r="O36" i="4"/>
  <c r="O152" i="4"/>
  <c r="O121" i="4"/>
  <c r="O100" i="4"/>
  <c r="O141" i="4"/>
  <c r="O55" i="4"/>
  <c r="O27" i="4"/>
  <c r="O98" i="4"/>
  <c r="O35" i="4"/>
  <c r="O46" i="4"/>
  <c r="O60" i="4"/>
  <c r="O146" i="4"/>
  <c r="O104" i="4"/>
  <c r="O21" i="4"/>
  <c r="O162" i="4"/>
  <c r="O85" i="4"/>
  <c r="O49" i="4"/>
  <c r="O87" i="4"/>
  <c r="O7" i="4"/>
  <c r="O124" i="4"/>
  <c r="O101" i="4"/>
  <c r="O73" i="4"/>
  <c r="O92" i="4"/>
  <c r="O139" i="4"/>
  <c r="O133" i="4"/>
  <c r="O175" i="4"/>
  <c r="O134" i="4"/>
  <c r="O17" i="4"/>
  <c r="O153" i="4"/>
  <c r="O129" i="4"/>
  <c r="O89" i="4"/>
  <c r="O18" i="4"/>
  <c r="O176" i="4"/>
  <c r="O177" i="4"/>
  <c r="O115" i="4"/>
  <c r="O178" i="4"/>
  <c r="O107" i="4"/>
  <c r="O179" i="4"/>
  <c r="O109" i="4"/>
  <c r="O180" i="4"/>
  <c r="O148" i="4"/>
  <c r="O142" i="4"/>
  <c r="O181" i="4"/>
  <c r="O136" i="4"/>
  <c r="O69" i="4"/>
  <c r="O182" i="4"/>
  <c r="O93" i="4"/>
  <c r="O183" i="4"/>
  <c r="O25" i="4"/>
  <c r="O184" i="4"/>
  <c r="O78" i="4"/>
  <c r="O51" i="4"/>
  <c r="O62" i="4"/>
  <c r="O47" i="4"/>
  <c r="O6" i="4"/>
  <c r="O29" i="4"/>
  <c r="O137" i="4"/>
  <c r="O143" i="4"/>
  <c r="O185" i="4"/>
  <c r="O80" i="4"/>
  <c r="O14" i="4"/>
  <c r="O103" i="4"/>
  <c r="O91" i="4"/>
  <c r="O42" i="4"/>
  <c r="O186" i="4"/>
  <c r="O96" i="4"/>
  <c r="O154" i="4"/>
  <c r="O187" i="4"/>
  <c r="O97" i="4"/>
  <c r="O58" i="4"/>
  <c r="O16" i="4"/>
  <c r="O130" i="4"/>
  <c r="O57" i="4"/>
  <c r="O155" i="4"/>
  <c r="O63" i="4"/>
  <c r="O4" i="4"/>
  <c r="O188" i="4"/>
  <c r="O15" i="4"/>
  <c r="O131" i="4"/>
  <c r="O189" i="4"/>
  <c r="O190" i="4"/>
  <c r="O117" i="4"/>
  <c r="O118" i="4"/>
  <c r="O19" i="4"/>
  <c r="O3" i="4"/>
  <c r="O119" i="4"/>
  <c r="O191" i="4"/>
  <c r="O38" i="4"/>
  <c r="O77" i="4"/>
  <c r="O56" i="4"/>
  <c r="O192" i="4"/>
  <c r="O122" i="4"/>
  <c r="O30" i="4"/>
  <c r="O193" i="4"/>
  <c r="O71" i="4"/>
  <c r="O61" i="4"/>
  <c r="O31" i="4"/>
  <c r="O194" i="4"/>
  <c r="O195" i="4"/>
  <c r="O45" i="4"/>
  <c r="O113" i="4"/>
  <c r="O156" i="4"/>
  <c r="O23" i="4"/>
  <c r="O196" i="4"/>
  <c r="O197" i="4"/>
  <c r="O198" i="4"/>
  <c r="O70" i="4"/>
  <c r="O64" i="4"/>
  <c r="O199" i="4"/>
  <c r="O24" i="4"/>
  <c r="O200" i="4"/>
  <c r="O125" i="4"/>
  <c r="O163" i="4"/>
  <c r="O50" i="4"/>
  <c r="O76" i="4"/>
  <c r="O86" i="4"/>
  <c r="O201" i="4"/>
  <c r="O164" i="4"/>
  <c r="O40" i="4"/>
  <c r="O95" i="4"/>
  <c r="O22" i="4"/>
  <c r="M43" i="4"/>
  <c r="M94" i="4"/>
  <c r="M9" i="4"/>
  <c r="M108" i="4"/>
  <c r="M116" i="4"/>
  <c r="M20" i="4"/>
  <c r="M13" i="4"/>
  <c r="M102" i="4"/>
  <c r="M132" i="4"/>
  <c r="M140" i="4"/>
  <c r="M165" i="4"/>
  <c r="M111" i="4"/>
  <c r="M144" i="4"/>
  <c r="M82" i="4"/>
  <c r="M126" i="4"/>
  <c r="M2" i="4"/>
  <c r="M166" i="4"/>
  <c r="M66" i="4"/>
  <c r="M84" i="4"/>
  <c r="M127" i="4"/>
  <c r="M11" i="4"/>
  <c r="M149" i="4"/>
  <c r="M59" i="4"/>
  <c r="M158" i="4"/>
  <c r="M167" i="4"/>
  <c r="M48" i="4"/>
  <c r="M12" i="4"/>
  <c r="M114" i="4"/>
  <c r="M68" i="4"/>
  <c r="M120" i="4"/>
  <c r="M10" i="4"/>
  <c r="M159" i="4"/>
  <c r="M32" i="4"/>
  <c r="M75" i="4"/>
  <c r="M99" i="4"/>
  <c r="M168" i="4"/>
  <c r="M169" i="4"/>
  <c r="M90" i="4"/>
  <c r="M170" i="4"/>
  <c r="M5" i="4"/>
  <c r="M41" i="4"/>
  <c r="M72" i="4"/>
  <c r="M83" i="4"/>
  <c r="M171" i="4"/>
  <c r="M157" i="4"/>
  <c r="M150" i="4"/>
  <c r="M172" i="4"/>
  <c r="M147" i="4"/>
  <c r="M81" i="4"/>
  <c r="M34" i="4"/>
  <c r="M173" i="4"/>
  <c r="M79" i="4"/>
  <c r="M105" i="4"/>
  <c r="M37" i="4"/>
  <c r="M160" i="4"/>
  <c r="M161" i="4"/>
  <c r="M151" i="4"/>
  <c r="M33" i="4"/>
  <c r="M110" i="4"/>
  <c r="M65" i="4"/>
  <c r="M39" i="4"/>
  <c r="M28" i="4"/>
  <c r="M8" i="4"/>
  <c r="M53" i="4"/>
  <c r="M26" i="4"/>
  <c r="M123" i="4"/>
  <c r="M145" i="4"/>
  <c r="M52" i="4"/>
  <c r="M67" i="4"/>
  <c r="M74" i="4"/>
  <c r="M135" i="4"/>
  <c r="M54" i="4"/>
  <c r="M112" i="4"/>
  <c r="M44" i="4"/>
  <c r="M106" i="4"/>
  <c r="M128" i="4"/>
  <c r="M88" i="4"/>
  <c r="M174" i="4"/>
  <c r="M138" i="4"/>
  <c r="M36" i="4"/>
  <c r="M152" i="4"/>
  <c r="M121" i="4"/>
  <c r="M100" i="4"/>
  <c r="M141" i="4"/>
  <c r="M55" i="4"/>
  <c r="M27" i="4"/>
  <c r="M98" i="4"/>
  <c r="M35" i="4"/>
  <c r="M46" i="4"/>
  <c r="M60" i="4"/>
  <c r="M146" i="4"/>
  <c r="M104" i="4"/>
  <c r="M21" i="4"/>
  <c r="M162" i="4"/>
  <c r="M85" i="4"/>
  <c r="M49" i="4"/>
  <c r="M87" i="4"/>
  <c r="M7" i="4"/>
  <c r="M124" i="4"/>
  <c r="M101" i="4"/>
  <c r="M73" i="4"/>
  <c r="M92" i="4"/>
  <c r="M139" i="4"/>
  <c r="M133" i="4"/>
  <c r="M175" i="4"/>
  <c r="M134" i="4"/>
  <c r="M17" i="4"/>
  <c r="M153" i="4"/>
  <c r="M129" i="4"/>
  <c r="M89" i="4"/>
  <c r="M18" i="4"/>
  <c r="M176" i="4"/>
  <c r="M177" i="4"/>
  <c r="M115" i="4"/>
  <c r="M178" i="4"/>
  <c r="M107" i="4"/>
  <c r="M179" i="4"/>
  <c r="M109" i="4"/>
  <c r="M180" i="4"/>
  <c r="M148" i="4"/>
  <c r="M142" i="4"/>
  <c r="M181" i="4"/>
  <c r="M136" i="4"/>
  <c r="M69" i="4"/>
  <c r="M182" i="4"/>
  <c r="M93" i="4"/>
  <c r="M183" i="4"/>
  <c r="M25" i="4"/>
  <c r="M184" i="4"/>
  <c r="M78" i="4"/>
  <c r="M51" i="4"/>
  <c r="M62" i="4"/>
  <c r="M47" i="4"/>
  <c r="M6" i="4"/>
  <c r="M29" i="4"/>
  <c r="M137" i="4"/>
  <c r="M143" i="4"/>
  <c r="M185" i="4"/>
  <c r="M80" i="4"/>
  <c r="M14" i="4"/>
  <c r="M103" i="4"/>
  <c r="M91" i="4"/>
  <c r="M42" i="4"/>
  <c r="M186" i="4"/>
  <c r="M96" i="4"/>
  <c r="M154" i="4"/>
  <c r="M187" i="4"/>
  <c r="M97" i="4"/>
  <c r="M58" i="4"/>
  <c r="M16" i="4"/>
  <c r="M130" i="4"/>
  <c r="M57" i="4"/>
  <c r="M155" i="4"/>
  <c r="M63" i="4"/>
  <c r="M4" i="4"/>
  <c r="M188" i="4"/>
  <c r="M15" i="4"/>
  <c r="M131" i="4"/>
  <c r="M189" i="4"/>
  <c r="M190" i="4"/>
  <c r="M117" i="4"/>
  <c r="M118" i="4"/>
  <c r="M19" i="4"/>
  <c r="M3" i="4"/>
  <c r="M119" i="4"/>
  <c r="M191" i="4"/>
  <c r="M38" i="4"/>
  <c r="M77" i="4"/>
  <c r="M56" i="4"/>
  <c r="M192" i="4"/>
  <c r="M122" i="4"/>
  <c r="M30" i="4"/>
  <c r="M193" i="4"/>
  <c r="M71" i="4"/>
  <c r="M61" i="4"/>
  <c r="M31" i="4"/>
  <c r="M194" i="4"/>
  <c r="M195" i="4"/>
  <c r="M45" i="4"/>
  <c r="M113" i="4"/>
  <c r="M156" i="4"/>
  <c r="M23" i="4"/>
  <c r="M196" i="4"/>
  <c r="M197" i="4"/>
  <c r="M198" i="4"/>
  <c r="M70" i="4"/>
  <c r="M64" i="4"/>
  <c r="M199" i="4"/>
  <c r="M24" i="4"/>
  <c r="M200" i="4"/>
  <c r="M125" i="4"/>
  <c r="M163" i="4"/>
  <c r="M50" i="4"/>
  <c r="M76" i="4"/>
  <c r="M86" i="4"/>
  <c r="M201" i="4"/>
  <c r="M164" i="4"/>
  <c r="M40" i="4"/>
  <c r="M95" i="4"/>
  <c r="M22" i="4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2" i="3"/>
  <c r="K43" i="4"/>
  <c r="K94" i="4"/>
  <c r="K9" i="4"/>
  <c r="K108" i="4"/>
  <c r="K116" i="4"/>
  <c r="K20" i="4"/>
  <c r="K13" i="4"/>
  <c r="K102" i="4"/>
  <c r="K132" i="4"/>
  <c r="K140" i="4"/>
  <c r="K165" i="4"/>
  <c r="K111" i="4"/>
  <c r="K144" i="4"/>
  <c r="K82" i="4"/>
  <c r="K126" i="4"/>
  <c r="K2" i="4"/>
  <c r="K166" i="4"/>
  <c r="K66" i="4"/>
  <c r="K84" i="4"/>
  <c r="K127" i="4"/>
  <c r="K11" i="4"/>
  <c r="K149" i="4"/>
  <c r="K59" i="4"/>
  <c r="K158" i="4"/>
  <c r="K167" i="4"/>
  <c r="K48" i="4"/>
  <c r="K12" i="4"/>
  <c r="K114" i="4"/>
  <c r="K68" i="4"/>
  <c r="K120" i="4"/>
  <c r="K10" i="4"/>
  <c r="K159" i="4"/>
  <c r="K32" i="4"/>
  <c r="K75" i="4"/>
  <c r="K99" i="4"/>
  <c r="K168" i="4"/>
  <c r="K169" i="4"/>
  <c r="K90" i="4"/>
  <c r="K170" i="4"/>
  <c r="K5" i="4"/>
  <c r="K41" i="4"/>
  <c r="K72" i="4"/>
  <c r="K83" i="4"/>
  <c r="K171" i="4"/>
  <c r="K157" i="4"/>
  <c r="K150" i="4"/>
  <c r="K172" i="4"/>
  <c r="K147" i="4"/>
  <c r="K81" i="4"/>
  <c r="K34" i="4"/>
  <c r="K173" i="4"/>
  <c r="K79" i="4"/>
  <c r="K105" i="4"/>
  <c r="K37" i="4"/>
  <c r="K160" i="4"/>
  <c r="K161" i="4"/>
  <c r="K151" i="4"/>
  <c r="K33" i="4"/>
  <c r="K110" i="4"/>
  <c r="K65" i="4"/>
  <c r="K39" i="4"/>
  <c r="K28" i="4"/>
  <c r="K8" i="4"/>
  <c r="K53" i="4"/>
  <c r="K26" i="4"/>
  <c r="K123" i="4"/>
  <c r="K145" i="4"/>
  <c r="K52" i="4"/>
  <c r="K67" i="4"/>
  <c r="K74" i="4"/>
  <c r="K135" i="4"/>
  <c r="K54" i="4"/>
  <c r="K112" i="4"/>
  <c r="K44" i="4"/>
  <c r="K106" i="4"/>
  <c r="K128" i="4"/>
  <c r="K88" i="4"/>
  <c r="K174" i="4"/>
  <c r="K138" i="4"/>
  <c r="K36" i="4"/>
  <c r="K152" i="4"/>
  <c r="K121" i="4"/>
  <c r="K100" i="4"/>
  <c r="K141" i="4"/>
  <c r="K55" i="4"/>
  <c r="K27" i="4"/>
  <c r="K98" i="4"/>
  <c r="K35" i="4"/>
  <c r="K46" i="4"/>
  <c r="K60" i="4"/>
  <c r="K146" i="4"/>
  <c r="K104" i="4"/>
  <c r="K21" i="4"/>
  <c r="K162" i="4"/>
  <c r="K85" i="4"/>
  <c r="K49" i="4"/>
  <c r="K87" i="4"/>
  <c r="K7" i="4"/>
  <c r="K124" i="4"/>
  <c r="K101" i="4"/>
  <c r="K73" i="4"/>
  <c r="K92" i="4"/>
  <c r="K139" i="4"/>
  <c r="K133" i="4"/>
  <c r="K175" i="4"/>
  <c r="K134" i="4"/>
  <c r="K17" i="4"/>
  <c r="K153" i="4"/>
  <c r="K129" i="4"/>
  <c r="K89" i="4"/>
  <c r="K18" i="4"/>
  <c r="K176" i="4"/>
  <c r="K177" i="4"/>
  <c r="K115" i="4"/>
  <c r="K178" i="4"/>
  <c r="K107" i="4"/>
  <c r="K179" i="4"/>
  <c r="K109" i="4"/>
  <c r="K180" i="4"/>
  <c r="K148" i="4"/>
  <c r="K142" i="4"/>
  <c r="K181" i="4"/>
  <c r="K136" i="4"/>
  <c r="K69" i="4"/>
  <c r="K182" i="4"/>
  <c r="K93" i="4"/>
  <c r="K183" i="4"/>
  <c r="K25" i="4"/>
  <c r="K184" i="4"/>
  <c r="K78" i="4"/>
  <c r="K51" i="4"/>
  <c r="K62" i="4"/>
  <c r="K47" i="4"/>
  <c r="K6" i="4"/>
  <c r="K29" i="4"/>
  <c r="K137" i="4"/>
  <c r="K143" i="4"/>
  <c r="K185" i="4"/>
  <c r="K80" i="4"/>
  <c r="K14" i="4"/>
  <c r="K103" i="4"/>
  <c r="K91" i="4"/>
  <c r="K42" i="4"/>
  <c r="K186" i="4"/>
  <c r="K96" i="4"/>
  <c r="K154" i="4"/>
  <c r="K187" i="4"/>
  <c r="K97" i="4"/>
  <c r="K58" i="4"/>
  <c r="K16" i="4"/>
  <c r="K130" i="4"/>
  <c r="K57" i="4"/>
  <c r="K155" i="4"/>
  <c r="K63" i="4"/>
  <c r="K4" i="4"/>
  <c r="K188" i="4"/>
  <c r="K15" i="4"/>
  <c r="K131" i="4"/>
  <c r="K189" i="4"/>
  <c r="K190" i="4"/>
  <c r="K117" i="4"/>
  <c r="K118" i="4"/>
  <c r="K19" i="4"/>
  <c r="K3" i="4"/>
  <c r="K119" i="4"/>
  <c r="K191" i="4"/>
  <c r="K38" i="4"/>
  <c r="K77" i="4"/>
  <c r="K56" i="4"/>
  <c r="K192" i="4"/>
  <c r="K122" i="4"/>
  <c r="K30" i="4"/>
  <c r="K193" i="4"/>
  <c r="K71" i="4"/>
  <c r="K61" i="4"/>
  <c r="K31" i="4"/>
  <c r="K194" i="4"/>
  <c r="K195" i="4"/>
  <c r="K45" i="4"/>
  <c r="K113" i="4"/>
  <c r="K156" i="4"/>
  <c r="K23" i="4"/>
  <c r="K196" i="4"/>
  <c r="K197" i="4"/>
  <c r="K198" i="4"/>
  <c r="K70" i="4"/>
  <c r="K64" i="4"/>
  <c r="K199" i="4"/>
  <c r="K24" i="4"/>
  <c r="K200" i="4"/>
  <c r="K125" i="4"/>
  <c r="K163" i="4"/>
  <c r="K50" i="4"/>
  <c r="K76" i="4"/>
  <c r="K86" i="4"/>
  <c r="K201" i="4"/>
  <c r="K164" i="4"/>
  <c r="K40" i="4"/>
  <c r="K95" i="4"/>
  <c r="K22" i="4"/>
  <c r="B23" i="6"/>
  <c r="I3" i="2"/>
  <c r="I4" i="2"/>
  <c r="I5" i="2"/>
  <c r="I6" i="2"/>
  <c r="I7" i="2"/>
  <c r="I8" i="2"/>
  <c r="I9" i="2"/>
  <c r="I2" i="2"/>
  <c r="B20" i="6"/>
  <c r="E43" i="4" a="1"/>
  <c r="E43" i="4" s="1"/>
  <c r="E94" i="4" a="1"/>
  <c r="E94" i="4" s="1"/>
  <c r="E9" i="4" a="1"/>
  <c r="E9" i="4" s="1"/>
  <c r="E108" i="4" a="1"/>
  <c r="E108" i="4" s="1"/>
  <c r="E116" i="4" a="1"/>
  <c r="E116" i="4" s="1"/>
  <c r="E20" i="4" a="1"/>
  <c r="E20" i="4" s="1"/>
  <c r="E13" i="4" a="1"/>
  <c r="E13" i="4" s="1"/>
  <c r="E102" i="4" a="1"/>
  <c r="E102" i="4" s="1"/>
  <c r="E132" i="4" a="1"/>
  <c r="E132" i="4" s="1"/>
  <c r="E140" i="4" a="1"/>
  <c r="E140" i="4" s="1"/>
  <c r="E165" i="4" a="1"/>
  <c r="E165" i="4" s="1"/>
  <c r="E111" i="4" a="1"/>
  <c r="E111" i="4" s="1"/>
  <c r="E144" i="4" a="1"/>
  <c r="E144" i="4" s="1"/>
  <c r="E82" i="4" a="1"/>
  <c r="E82" i="4" s="1"/>
  <c r="E126" i="4" a="1"/>
  <c r="E126" i="4" s="1"/>
  <c r="E2" i="4" a="1"/>
  <c r="E2" i="4" s="1"/>
  <c r="E166" i="4" a="1"/>
  <c r="E166" i="4" s="1"/>
  <c r="E66" i="4" a="1"/>
  <c r="E66" i="4" s="1"/>
  <c r="E84" i="4" a="1"/>
  <c r="E84" i="4" s="1"/>
  <c r="E127" i="4" a="1"/>
  <c r="E127" i="4" s="1"/>
  <c r="E11" i="4" a="1"/>
  <c r="E11" i="4" s="1"/>
  <c r="E149" i="4" a="1"/>
  <c r="E149" i="4" s="1"/>
  <c r="E59" i="4" a="1"/>
  <c r="E59" i="4" s="1"/>
  <c r="E158" i="4" a="1"/>
  <c r="E158" i="4" s="1"/>
  <c r="E167" i="4" a="1"/>
  <c r="E167" i="4" s="1"/>
  <c r="E48" i="4" a="1"/>
  <c r="E48" i="4" s="1"/>
  <c r="E12" i="4" a="1"/>
  <c r="E12" i="4" s="1"/>
  <c r="E114" i="4" a="1"/>
  <c r="E114" i="4" s="1"/>
  <c r="E68" i="4" a="1"/>
  <c r="E68" i="4" s="1"/>
  <c r="E120" i="4" a="1"/>
  <c r="E120" i="4" s="1"/>
  <c r="E10" i="4" a="1"/>
  <c r="E10" i="4" s="1"/>
  <c r="E159" i="4" a="1"/>
  <c r="E159" i="4" s="1"/>
  <c r="E32" i="4" a="1"/>
  <c r="E32" i="4" s="1"/>
  <c r="E75" i="4" a="1"/>
  <c r="E75" i="4" s="1"/>
  <c r="E99" i="4" a="1"/>
  <c r="E99" i="4" s="1"/>
  <c r="E168" i="4" a="1"/>
  <c r="E168" i="4" s="1"/>
  <c r="E169" i="4" a="1"/>
  <c r="E169" i="4" s="1"/>
  <c r="E90" i="4" a="1"/>
  <c r="E90" i="4" s="1"/>
  <c r="E170" i="4" a="1"/>
  <c r="E170" i="4" s="1"/>
  <c r="E5" i="4" a="1"/>
  <c r="E5" i="4" s="1"/>
  <c r="E41" i="4" a="1"/>
  <c r="E41" i="4" s="1"/>
  <c r="E72" i="4" a="1"/>
  <c r="E72" i="4" s="1"/>
  <c r="E83" i="4" a="1"/>
  <c r="E83" i="4" s="1"/>
  <c r="E171" i="4" a="1"/>
  <c r="E171" i="4" s="1"/>
  <c r="E157" i="4" a="1"/>
  <c r="E157" i="4" s="1"/>
  <c r="E150" i="4" a="1"/>
  <c r="E150" i="4" s="1"/>
  <c r="E172" i="4" a="1"/>
  <c r="E172" i="4" s="1"/>
  <c r="E147" i="4" a="1"/>
  <c r="E147" i="4" s="1"/>
  <c r="E81" i="4" a="1"/>
  <c r="E81" i="4" s="1"/>
  <c r="E34" i="4" a="1"/>
  <c r="E34" i="4" s="1"/>
  <c r="E173" i="4" a="1"/>
  <c r="E173" i="4" s="1"/>
  <c r="E79" i="4" a="1"/>
  <c r="E79" i="4" s="1"/>
  <c r="E105" i="4" a="1"/>
  <c r="E105" i="4" s="1"/>
  <c r="E37" i="4" a="1"/>
  <c r="E37" i="4" s="1"/>
  <c r="E160" i="4" a="1"/>
  <c r="E160" i="4" s="1"/>
  <c r="E161" i="4" a="1"/>
  <c r="E161" i="4" s="1"/>
  <c r="E151" i="4" a="1"/>
  <c r="E151" i="4" s="1"/>
  <c r="E33" i="4" a="1"/>
  <c r="E33" i="4" s="1"/>
  <c r="E110" i="4" a="1"/>
  <c r="E110" i="4" s="1"/>
  <c r="E65" i="4" a="1"/>
  <c r="E65" i="4" s="1"/>
  <c r="E39" i="4" a="1"/>
  <c r="E39" i="4" s="1"/>
  <c r="E28" i="4" a="1"/>
  <c r="E28" i="4" s="1"/>
  <c r="E8" i="4" a="1"/>
  <c r="E8" i="4" s="1"/>
  <c r="E53" i="4" a="1"/>
  <c r="E53" i="4" s="1"/>
  <c r="E26" i="4" a="1"/>
  <c r="E26" i="4" s="1"/>
  <c r="E123" i="4" a="1"/>
  <c r="E123" i="4" s="1"/>
  <c r="E145" i="4" a="1"/>
  <c r="E145" i="4" s="1"/>
  <c r="E52" i="4" a="1"/>
  <c r="E52" i="4" s="1"/>
  <c r="E67" i="4" a="1"/>
  <c r="E67" i="4" s="1"/>
  <c r="E74" i="4" a="1"/>
  <c r="E74" i="4" s="1"/>
  <c r="E135" i="4" a="1"/>
  <c r="E135" i="4" s="1"/>
  <c r="E54" i="4" a="1"/>
  <c r="E54" i="4" s="1"/>
  <c r="E112" i="4" a="1"/>
  <c r="E112" i="4" s="1"/>
  <c r="E44" i="4" a="1"/>
  <c r="E44" i="4" s="1"/>
  <c r="E106" i="4" a="1"/>
  <c r="E106" i="4" s="1"/>
  <c r="E128" i="4" a="1"/>
  <c r="E128" i="4" s="1"/>
  <c r="E88" i="4" a="1"/>
  <c r="E88" i="4" s="1"/>
  <c r="E174" i="4" a="1"/>
  <c r="E174" i="4" s="1"/>
  <c r="E138" i="4" a="1"/>
  <c r="E138" i="4" s="1"/>
  <c r="E36" i="4" a="1"/>
  <c r="E36" i="4" s="1"/>
  <c r="E152" i="4" a="1"/>
  <c r="E152" i="4" s="1"/>
  <c r="E121" i="4" a="1"/>
  <c r="E121" i="4" s="1"/>
  <c r="E100" i="4" a="1"/>
  <c r="E100" i="4" s="1"/>
  <c r="E141" i="4" a="1"/>
  <c r="E141" i="4" s="1"/>
  <c r="E55" i="4" a="1"/>
  <c r="E55" i="4" s="1"/>
  <c r="E27" i="4" a="1"/>
  <c r="E27" i="4" s="1"/>
  <c r="E98" i="4" a="1"/>
  <c r="E98" i="4" s="1"/>
  <c r="E35" i="4" a="1"/>
  <c r="E35" i="4" s="1"/>
  <c r="E46" i="4" a="1"/>
  <c r="E46" i="4" s="1"/>
  <c r="E60" i="4" a="1"/>
  <c r="E60" i="4" s="1"/>
  <c r="E146" i="4" a="1"/>
  <c r="E146" i="4" s="1"/>
  <c r="E104" i="4" a="1"/>
  <c r="E104" i="4" s="1"/>
  <c r="E21" i="4" a="1"/>
  <c r="E21" i="4" s="1"/>
  <c r="E162" i="4" a="1"/>
  <c r="E162" i="4" s="1"/>
  <c r="E85" i="4" a="1"/>
  <c r="E85" i="4" s="1"/>
  <c r="E49" i="4" a="1"/>
  <c r="E49" i="4" s="1"/>
  <c r="E87" i="4" a="1"/>
  <c r="E87" i="4" s="1"/>
  <c r="E7" i="4" a="1"/>
  <c r="E7" i="4" s="1"/>
  <c r="E124" i="4" a="1"/>
  <c r="E124" i="4" s="1"/>
  <c r="E101" i="4" a="1"/>
  <c r="E101" i="4" s="1"/>
  <c r="E73" i="4" a="1"/>
  <c r="E73" i="4" s="1"/>
  <c r="E92" i="4" a="1"/>
  <c r="E92" i="4" s="1"/>
  <c r="E139" i="4" a="1"/>
  <c r="E139" i="4" s="1"/>
  <c r="E133" i="4" a="1"/>
  <c r="E133" i="4" s="1"/>
  <c r="E175" i="4" a="1"/>
  <c r="E175" i="4" s="1"/>
  <c r="E134" i="4" a="1"/>
  <c r="E134" i="4" s="1"/>
  <c r="E17" i="4" a="1"/>
  <c r="E17" i="4" s="1"/>
  <c r="E153" i="4" a="1"/>
  <c r="E153" i="4" s="1"/>
  <c r="E129" i="4" a="1"/>
  <c r="E129" i="4" s="1"/>
  <c r="E89" i="4" a="1"/>
  <c r="E89" i="4" s="1"/>
  <c r="E18" i="4" a="1"/>
  <c r="E18" i="4" s="1"/>
  <c r="E176" i="4" a="1"/>
  <c r="E176" i="4" s="1"/>
  <c r="E177" i="4" a="1"/>
  <c r="E177" i="4" s="1"/>
  <c r="E115" i="4" a="1"/>
  <c r="E115" i="4" s="1"/>
  <c r="E178" i="4" a="1"/>
  <c r="E178" i="4" s="1"/>
  <c r="E107" i="4" a="1"/>
  <c r="E107" i="4" s="1"/>
  <c r="E179" i="4" a="1"/>
  <c r="E179" i="4" s="1"/>
  <c r="E109" i="4" a="1"/>
  <c r="E109" i="4" s="1"/>
  <c r="E180" i="4" a="1"/>
  <c r="E180" i="4" s="1"/>
  <c r="E148" i="4" a="1"/>
  <c r="E148" i="4" s="1"/>
  <c r="E142" i="4" a="1"/>
  <c r="E142" i="4" s="1"/>
  <c r="E181" i="4" a="1"/>
  <c r="E181" i="4" s="1"/>
  <c r="E136" i="4" a="1"/>
  <c r="E136" i="4" s="1"/>
  <c r="E69" i="4" a="1"/>
  <c r="E69" i="4" s="1"/>
  <c r="E182" i="4" a="1"/>
  <c r="E182" i="4" s="1"/>
  <c r="E93" i="4" a="1"/>
  <c r="E93" i="4" s="1"/>
  <c r="E183" i="4" a="1"/>
  <c r="E183" i="4" s="1"/>
  <c r="E25" i="4" a="1"/>
  <c r="E25" i="4" s="1"/>
  <c r="E184" i="4" a="1"/>
  <c r="E184" i="4" s="1"/>
  <c r="E78" i="4" a="1"/>
  <c r="E78" i="4" s="1"/>
  <c r="E51" i="4" a="1"/>
  <c r="E51" i="4" s="1"/>
  <c r="E62" i="4" a="1"/>
  <c r="E62" i="4" s="1"/>
  <c r="E47" i="4" a="1"/>
  <c r="E47" i="4" s="1"/>
  <c r="E6" i="4" a="1"/>
  <c r="E6" i="4" s="1"/>
  <c r="E29" i="4" a="1"/>
  <c r="E29" i="4" s="1"/>
  <c r="E137" i="4" a="1"/>
  <c r="E137" i="4" s="1"/>
  <c r="E143" i="4" a="1"/>
  <c r="E143" i="4" s="1"/>
  <c r="E185" i="4" a="1"/>
  <c r="E185" i="4" s="1"/>
  <c r="E80" i="4" a="1"/>
  <c r="E80" i="4" s="1"/>
  <c r="E14" i="4" a="1"/>
  <c r="E14" i="4" s="1"/>
  <c r="E103" i="4" a="1"/>
  <c r="E103" i="4" s="1"/>
  <c r="E91" i="4" a="1"/>
  <c r="E91" i="4" s="1"/>
  <c r="E42" i="4" a="1"/>
  <c r="E42" i="4" s="1"/>
  <c r="E186" i="4" a="1"/>
  <c r="E186" i="4" s="1"/>
  <c r="E96" i="4" a="1"/>
  <c r="E96" i="4" s="1"/>
  <c r="E154" i="4" a="1"/>
  <c r="E154" i="4" s="1"/>
  <c r="E187" i="4" a="1"/>
  <c r="E187" i="4" s="1"/>
  <c r="E97" i="4" a="1"/>
  <c r="E97" i="4" s="1"/>
  <c r="E58" i="4" a="1"/>
  <c r="E58" i="4" s="1"/>
  <c r="E16" i="4" a="1"/>
  <c r="E16" i="4" s="1"/>
  <c r="E130" i="4" a="1"/>
  <c r="E130" i="4" s="1"/>
  <c r="E57" i="4" a="1"/>
  <c r="E57" i="4" s="1"/>
  <c r="E155" i="4" a="1"/>
  <c r="E155" i="4" s="1"/>
  <c r="E63" i="4" a="1"/>
  <c r="E63" i="4" s="1"/>
  <c r="E4" i="4" a="1"/>
  <c r="E4" i="4" s="1"/>
  <c r="E188" i="4" a="1"/>
  <c r="E188" i="4" s="1"/>
  <c r="E15" i="4" a="1"/>
  <c r="E15" i="4" s="1"/>
  <c r="E131" i="4" a="1"/>
  <c r="E131" i="4" s="1"/>
  <c r="E189" i="4" a="1"/>
  <c r="E189" i="4" s="1"/>
  <c r="E190" i="4" a="1"/>
  <c r="E190" i="4" s="1"/>
  <c r="E117" i="4" a="1"/>
  <c r="E117" i="4" s="1"/>
  <c r="E118" i="4" a="1"/>
  <c r="E118" i="4" s="1"/>
  <c r="E19" i="4" a="1"/>
  <c r="E19" i="4" s="1"/>
  <c r="E3" i="4" a="1"/>
  <c r="E3" i="4" s="1"/>
  <c r="E119" i="4" a="1"/>
  <c r="E119" i="4" s="1"/>
  <c r="E191" i="4" a="1"/>
  <c r="E191" i="4" s="1"/>
  <c r="E38" i="4" a="1"/>
  <c r="E38" i="4" s="1"/>
  <c r="E77" i="4" a="1"/>
  <c r="E77" i="4" s="1"/>
  <c r="E56" i="4" a="1"/>
  <c r="E56" i="4" s="1"/>
  <c r="E192" i="4" a="1"/>
  <c r="E192" i="4" s="1"/>
  <c r="E122" i="4" a="1"/>
  <c r="E122" i="4" s="1"/>
  <c r="E30" i="4" a="1"/>
  <c r="E30" i="4" s="1"/>
  <c r="E193" i="4" a="1"/>
  <c r="E193" i="4" s="1"/>
  <c r="E71" i="4" a="1"/>
  <c r="E71" i="4" s="1"/>
  <c r="E61" i="4" a="1"/>
  <c r="E61" i="4" s="1"/>
  <c r="E31" i="4" a="1"/>
  <c r="E31" i="4" s="1"/>
  <c r="E194" i="4" a="1"/>
  <c r="E194" i="4" s="1"/>
  <c r="E195" i="4" a="1"/>
  <c r="E195" i="4" s="1"/>
  <c r="E45" i="4" a="1"/>
  <c r="E45" i="4" s="1"/>
  <c r="E113" i="4" a="1"/>
  <c r="E113" i="4" s="1"/>
  <c r="E156" i="4" a="1"/>
  <c r="E156" i="4" s="1"/>
  <c r="E23" i="4" a="1"/>
  <c r="E23" i="4" s="1"/>
  <c r="E196" i="4" a="1"/>
  <c r="E196" i="4" s="1"/>
  <c r="E197" i="4" a="1"/>
  <c r="E197" i="4" s="1"/>
  <c r="E198" i="4" a="1"/>
  <c r="E198" i="4" s="1"/>
  <c r="E70" i="4" a="1"/>
  <c r="E70" i="4" s="1"/>
  <c r="E64" i="4" a="1"/>
  <c r="E64" i="4" s="1"/>
  <c r="E199" i="4" a="1"/>
  <c r="E199" i="4" s="1"/>
  <c r="E24" i="4" a="1"/>
  <c r="E24" i="4" s="1"/>
  <c r="E200" i="4" a="1"/>
  <c r="E200" i="4" s="1"/>
  <c r="E125" i="4" a="1"/>
  <c r="E125" i="4" s="1"/>
  <c r="E163" i="4" a="1"/>
  <c r="E163" i="4" s="1"/>
  <c r="E50" i="4" a="1"/>
  <c r="E50" i="4" s="1"/>
  <c r="E76" i="4" a="1"/>
  <c r="E76" i="4" s="1"/>
  <c r="E86" i="4" a="1"/>
  <c r="E86" i="4" s="1"/>
  <c r="E201" i="4" a="1"/>
  <c r="E201" i="4" s="1"/>
  <c r="E164" i="4" a="1"/>
  <c r="E164" i="4" s="1"/>
  <c r="E40" i="4" a="1"/>
  <c r="E40" i="4" s="1"/>
  <c r="E95" i="4" a="1"/>
  <c r="E95" i="4" s="1"/>
  <c r="E22" i="4" a="1"/>
  <c r="E22" i="4" s="1"/>
  <c r="D17" i="6" a="1"/>
  <c r="D17" i="6" s="1"/>
  <c r="C15" i="6"/>
  <c r="C14" i="6"/>
  <c r="C13" i="6"/>
  <c r="C12" i="6"/>
  <c r="E8" i="6"/>
  <c r="E7" i="6"/>
  <c r="E6" i="6"/>
  <c r="B7" i="6"/>
  <c r="B8" i="6"/>
  <c r="B6" i="6"/>
  <c r="A2" i="7" l="1" a="1"/>
  <c r="A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<sst xmlns="http://schemas.openxmlformats.org/spreadsheetml/2006/main" count="4820" uniqueCount="1752">
  <si>
    <t>Loan Portfolio Dataset — Data Analytics Final Project</t>
  </si>
  <si>
    <t>DATASET OVERVIEW</t>
  </si>
  <si>
    <t>The data spans 2021–2024 and covers 8 branches across Uganda.</t>
  </si>
  <si>
    <t>SHEETS IN THIS WORKBOOK</t>
  </si>
  <si>
    <t>Loan_Applications  →  200 rows of raw loan data (intentionally messy — needs cleaning)</t>
  </si>
  <si>
    <t>Customers          →  120 customer records (reference data)</t>
  </si>
  <si>
    <t>Branches           →  Branch reference table</t>
  </si>
  <si>
    <t>Repayments         →  400 repayment transaction records (raw, messy)</t>
  </si>
  <si>
    <t>KNOWN DATA QUALITY ISSUES (find and fix these in Power Query and Python):</t>
  </si>
  <si>
    <t>• Inconsistent date formats (dd/mm/yyyy, yyyy-mm-dd, dd-Mon-yyyy, etc.)</t>
  </si>
  <si>
    <t>• Interest rates stored as text with '%' sign in some rows</t>
  </si>
  <si>
    <t>• Blank/missing values in Loan Officer, Collateral, Sector fields</t>
  </si>
  <si>
    <t>• Status column has mixed casing (e.g. 'active', 'PAID') and leading/trailing spaces</t>
  </si>
  <si>
    <t>• Negative values in Amount Paid column (data entry errors)</t>
  </si>
  <si>
    <t>• Duplicate-style inconsistencies in Payment Status field</t>
  </si>
  <si>
    <t>CURRENCY: All monetary values are in Uganda Shillings (UGX)</t>
  </si>
  <si>
    <t>PREPARED FOR: Uganda Institute of Banking &amp; Financial Services — Data Analytics Programme</t>
  </si>
  <si>
    <t>Branch_Code</t>
  </si>
  <si>
    <t>Branch_Name</t>
  </si>
  <si>
    <t>Region</t>
  </si>
  <si>
    <t>District</t>
  </si>
  <si>
    <t>Manager</t>
  </si>
  <si>
    <t>Phone</t>
  </si>
  <si>
    <t>Email</t>
  </si>
  <si>
    <t>Date_Opened</t>
  </si>
  <si>
    <t>BR001</t>
  </si>
  <si>
    <t>Kampala Main</t>
  </si>
  <si>
    <t>Central</t>
  </si>
  <si>
    <t>Kampala</t>
  </si>
  <si>
    <t>Nalugo Immaculate</t>
  </si>
  <si>
    <t>0417553873</t>
  </si>
  <si>
    <t>branch.br001@kcb.co.ug</t>
  </si>
  <si>
    <t>10/04/2016</t>
  </si>
  <si>
    <t>BR002</t>
  </si>
  <si>
    <t>Nakasero</t>
  </si>
  <si>
    <t>Byarugaba Fred</t>
  </si>
  <si>
    <t>0416969959</t>
  </si>
  <si>
    <t>branch.br002@kcb.co.ug</t>
  </si>
  <si>
    <t>27/11/2002</t>
  </si>
  <si>
    <t>BR003</t>
  </si>
  <si>
    <t>Mbarara</t>
  </si>
  <si>
    <t>Western</t>
  </si>
  <si>
    <t>Akello Patience</t>
  </si>
  <si>
    <t>0412633762</t>
  </si>
  <si>
    <t>branch.br003@kcb.co.ug</t>
  </si>
  <si>
    <t>07/06/2007</t>
  </si>
  <si>
    <t>BR004</t>
  </si>
  <si>
    <t>Gulu</t>
  </si>
  <si>
    <t>Northern</t>
  </si>
  <si>
    <t>Obote Nicholas</t>
  </si>
  <si>
    <t>0417833134</t>
  </si>
  <si>
    <t>branch.br004@kcb.co.ug</t>
  </si>
  <si>
    <t>17/08/2016</t>
  </si>
  <si>
    <t>BR005</t>
  </si>
  <si>
    <t>Jinja</t>
  </si>
  <si>
    <t>Eastern</t>
  </si>
  <si>
    <t>Nakagolo Cynthia</t>
  </si>
  <si>
    <t>0419448643</t>
  </si>
  <si>
    <t>branch.br005@kcb.co.ug</t>
  </si>
  <si>
    <t>07/04/2002</t>
  </si>
  <si>
    <t>BR006</t>
  </si>
  <si>
    <t>Entebbe</t>
  </si>
  <si>
    <t>Wakiso</t>
  </si>
  <si>
    <t>Mugabe Richard</t>
  </si>
  <si>
    <t>0419425133</t>
  </si>
  <si>
    <t>branch.br006@kcb.co.ug</t>
  </si>
  <si>
    <t>09/02/2018</t>
  </si>
  <si>
    <t>BR007</t>
  </si>
  <si>
    <t>Mbale</t>
  </si>
  <si>
    <t>Wandera Simon</t>
  </si>
  <si>
    <t>0413519714</t>
  </si>
  <si>
    <t>branch.br007@kcb.co.ug</t>
  </si>
  <si>
    <t>13/07/2000</t>
  </si>
  <si>
    <t>BR008</t>
  </si>
  <si>
    <t>Fort Portal</t>
  </si>
  <si>
    <t>Kabarole</t>
  </si>
  <si>
    <t>Tukahirwa Grace</t>
  </si>
  <si>
    <t>0417410771</t>
  </si>
  <si>
    <t>branch.br008@kcb.co.ug</t>
  </si>
  <si>
    <t>12/09/2010</t>
  </si>
  <si>
    <t>Customer_ID</t>
  </si>
  <si>
    <t>First_Name</t>
  </si>
  <si>
    <t>Last_Name</t>
  </si>
  <si>
    <t>Gender</t>
  </si>
  <si>
    <t>Date_of_Birth</t>
  </si>
  <si>
    <t>National_ID</t>
  </si>
  <si>
    <t>Home_Branch</t>
  </si>
  <si>
    <t>Customer_Segment</t>
  </si>
  <si>
    <t>Credit_Score</t>
  </si>
  <si>
    <t>CUS93810</t>
  </si>
  <si>
    <t>Patricia</t>
  </si>
  <si>
    <t>Kato</t>
  </si>
  <si>
    <t>Female</t>
  </si>
  <si>
    <t>27/12/1975</t>
  </si>
  <si>
    <t>CM4744854DC</t>
  </si>
  <si>
    <t>0782458591</t>
  </si>
  <si>
    <t>Staff</t>
  </si>
  <si>
    <t>CUS14165</t>
  </si>
  <si>
    <t>Sarah</t>
  </si>
  <si>
    <t>Musoke</t>
  </si>
  <si>
    <t>Male</t>
  </si>
  <si>
    <t>09/06/1975</t>
  </si>
  <si>
    <t>CM9478454PO</t>
  </si>
  <si>
    <t>0788038374</t>
  </si>
  <si>
    <t>Corporate</t>
  </si>
  <si>
    <t>CUS68878</t>
  </si>
  <si>
    <t>Stephen</t>
  </si>
  <si>
    <t>Okello</t>
  </si>
  <si>
    <t>15/01/1999</t>
  </si>
  <si>
    <t>CM3678638SI</t>
  </si>
  <si>
    <t>0714612365</t>
  </si>
  <si>
    <t>SME</t>
  </si>
  <si>
    <t>CUS23396</t>
  </si>
  <si>
    <t>Florence</t>
  </si>
  <si>
    <t>Kyambadde</t>
  </si>
  <si>
    <t>07/02/1981</t>
  </si>
  <si>
    <t>CM6770619PU</t>
  </si>
  <si>
    <t>0788707870</t>
  </si>
  <si>
    <t>Retail</t>
  </si>
  <si>
    <t>CUS59615</t>
  </si>
  <si>
    <t>Nalweyiso</t>
  </si>
  <si>
    <t>14/03/1993</t>
  </si>
  <si>
    <t>CM7067228PS</t>
  </si>
  <si>
    <t>0704823498</t>
  </si>
  <si>
    <t>CUS20458</t>
  </si>
  <si>
    <t>Harriet</t>
  </si>
  <si>
    <t>Ssekandi</t>
  </si>
  <si>
    <t>19/01/1982</t>
  </si>
  <si>
    <t>CM5663623LV</t>
  </si>
  <si>
    <t>0717210606</t>
  </si>
  <si>
    <t>CUS37460</t>
  </si>
  <si>
    <t>Joseph</t>
  </si>
  <si>
    <t>Nanteza</t>
  </si>
  <si>
    <t>29/04/1992</t>
  </si>
  <si>
    <t>CM3871230NG</t>
  </si>
  <si>
    <t>0767366205</t>
  </si>
  <si>
    <t>CUS93886</t>
  </si>
  <si>
    <t>George</t>
  </si>
  <si>
    <t>Atim</t>
  </si>
  <si>
    <t>20/06/1999</t>
  </si>
  <si>
    <t>CM1938483FA</t>
  </si>
  <si>
    <t>0727730428</t>
  </si>
  <si>
    <t>CUS18675</t>
  </si>
  <si>
    <t>Prosper</t>
  </si>
  <si>
    <t>Kibuuka</t>
  </si>
  <si>
    <t>16/07/1974</t>
  </si>
  <si>
    <t>CM9375710KX</t>
  </si>
  <si>
    <t>0763396987</t>
  </si>
  <si>
    <t>CUS28301</t>
  </si>
  <si>
    <t>Emmanuel</t>
  </si>
  <si>
    <t>Kalinda</t>
  </si>
  <si>
    <t>06/07/1998</t>
  </si>
  <si>
    <t>CM8187926XK</t>
  </si>
  <si>
    <t>0713320821</t>
  </si>
  <si>
    <t>CUS21915</t>
  </si>
  <si>
    <t>Grace</t>
  </si>
  <si>
    <t>10/11/1971</t>
  </si>
  <si>
    <t>CM3684052UK</t>
  </si>
  <si>
    <t>0707455324</t>
  </si>
  <si>
    <t>CUS88104</t>
  </si>
  <si>
    <t>Peter</t>
  </si>
  <si>
    <t>Ssemwogerere</t>
  </si>
  <si>
    <t>26/10/1989</t>
  </si>
  <si>
    <t>CM1192619RC</t>
  </si>
  <si>
    <t>0775476583</t>
  </si>
  <si>
    <t>CUS24621</t>
  </si>
  <si>
    <t>Esther</t>
  </si>
  <si>
    <t>Nakirya</t>
  </si>
  <si>
    <t>09/05/1985</t>
  </si>
  <si>
    <t>CM1054447YW</t>
  </si>
  <si>
    <t>0729398441</t>
  </si>
  <si>
    <t>CUS76542</t>
  </si>
  <si>
    <t>Robert</t>
  </si>
  <si>
    <t>30/08/1993</t>
  </si>
  <si>
    <t>CM9517169PD</t>
  </si>
  <si>
    <t>0719897858</t>
  </si>
  <si>
    <t>CUS88504</t>
  </si>
  <si>
    <t>Agnes</t>
  </si>
  <si>
    <t>Awori</t>
  </si>
  <si>
    <t>07/01/1970</t>
  </si>
  <si>
    <t>CM7089806WV</t>
  </si>
  <si>
    <t>0725017343</t>
  </si>
  <si>
    <t>CUS41571</t>
  </si>
  <si>
    <t>Annet</t>
  </si>
  <si>
    <t>31/10/1997</t>
  </si>
  <si>
    <t>CM9153566VZ</t>
  </si>
  <si>
    <t>0773109911</t>
  </si>
  <si>
    <t>CUS96474</t>
  </si>
  <si>
    <t>Sylvia</t>
  </si>
  <si>
    <t>21/11/1976</t>
  </si>
  <si>
    <t>CM9852897WL</t>
  </si>
  <si>
    <t>0714374754</t>
  </si>
  <si>
    <t>CUS62296</t>
  </si>
  <si>
    <t>Michael</t>
  </si>
  <si>
    <t>Ochieng</t>
  </si>
  <si>
    <t>06/06/1970</t>
  </si>
  <si>
    <t>CM5159166FI</t>
  </si>
  <si>
    <t>0774860684</t>
  </si>
  <si>
    <t>CUS10942</t>
  </si>
  <si>
    <t>James</t>
  </si>
  <si>
    <t>09/04/1975</t>
  </si>
  <si>
    <t>CM2130789XW</t>
  </si>
  <si>
    <t>0709626108</t>
  </si>
  <si>
    <t>CUS46500</t>
  </si>
  <si>
    <t>Charles</t>
  </si>
  <si>
    <t>Mugisha</t>
  </si>
  <si>
    <t>13/06/1997</t>
  </si>
  <si>
    <t>CM8930103GM</t>
  </si>
  <si>
    <t>0764194548</t>
  </si>
  <si>
    <t>Premium Retail</t>
  </si>
  <si>
    <t>CUS22704</t>
  </si>
  <si>
    <t>Isaac</t>
  </si>
  <si>
    <t>Muhwezi</t>
  </si>
  <si>
    <t>11/06/1983</t>
  </si>
  <si>
    <t>CM8835373WB</t>
  </si>
  <si>
    <t>0782651177</t>
  </si>
  <si>
    <t>CUS62772</t>
  </si>
  <si>
    <t>Daniel</t>
  </si>
  <si>
    <t>Kabugo</t>
  </si>
  <si>
    <t>26/02/1976</t>
  </si>
  <si>
    <t>CM4214348EL</t>
  </si>
  <si>
    <t>0764078418</t>
  </si>
  <si>
    <t>CUS70637</t>
  </si>
  <si>
    <t>17/11/1984</t>
  </si>
  <si>
    <t>CM2642635BZ</t>
  </si>
  <si>
    <t>0702564689</t>
  </si>
  <si>
    <t>CUS31798</t>
  </si>
  <si>
    <t>Christine</t>
  </si>
  <si>
    <t>04/08/1974</t>
  </si>
  <si>
    <t>CM7728339XE</t>
  </si>
  <si>
    <t>0707550190</t>
  </si>
  <si>
    <t>CUS69638</t>
  </si>
  <si>
    <t>12/12/1971</t>
  </si>
  <si>
    <t>CM4185957HZ</t>
  </si>
  <si>
    <t>0772022698</t>
  </si>
  <si>
    <t>CUS17492</t>
  </si>
  <si>
    <t>23/07/1987</t>
  </si>
  <si>
    <t>CM9910817EY</t>
  </si>
  <si>
    <t>0704117625</t>
  </si>
  <si>
    <t>CUS87992</t>
  </si>
  <si>
    <t>Tendo</t>
  </si>
  <si>
    <t>11/02/1983</t>
  </si>
  <si>
    <t>CM3011363YO</t>
  </si>
  <si>
    <t>0771666754</t>
  </si>
  <si>
    <t>CUS64948</t>
  </si>
  <si>
    <t>12/09/1976</t>
  </si>
  <si>
    <t>CM4426900RI</t>
  </si>
  <si>
    <t>0727640184</t>
  </si>
  <si>
    <t>CUS98039</t>
  </si>
  <si>
    <t>Simon</t>
  </si>
  <si>
    <t>23/09/1998</t>
  </si>
  <si>
    <t>CM2217071AQ</t>
  </si>
  <si>
    <t>0772677407</t>
  </si>
  <si>
    <t>CUS80468</t>
  </si>
  <si>
    <t>11/12/1970</t>
  </si>
  <si>
    <t>CM6855396WW</t>
  </si>
  <si>
    <t>0725781295</t>
  </si>
  <si>
    <t>CUS67433</t>
  </si>
  <si>
    <t>Phionah</t>
  </si>
  <si>
    <t>09/06/1992</t>
  </si>
  <si>
    <t>CM9874152AV</t>
  </si>
  <si>
    <t>0722737893</t>
  </si>
  <si>
    <t>CUS44664</t>
  </si>
  <si>
    <t>Tusiime</t>
  </si>
  <si>
    <t>21/04/1998</t>
  </si>
  <si>
    <t>CM3607983HP</t>
  </si>
  <si>
    <t>0786752576</t>
  </si>
  <si>
    <t>CUS93130</t>
  </si>
  <si>
    <t>Ruth</t>
  </si>
  <si>
    <t>07/04/1976</t>
  </si>
  <si>
    <t>CM1852264CL</t>
  </si>
  <si>
    <t>0721739653</t>
  </si>
  <si>
    <t>CUS53719</t>
  </si>
  <si>
    <t>Henry</t>
  </si>
  <si>
    <t>Mugerwa</t>
  </si>
  <si>
    <t>01/04/1972</t>
  </si>
  <si>
    <t>CM8412769OL</t>
  </si>
  <si>
    <t>0702876932</t>
  </si>
  <si>
    <t>CUS29536</t>
  </si>
  <si>
    <t>Nakato</t>
  </si>
  <si>
    <t>17/02/1991</t>
  </si>
  <si>
    <t>CM3484601LB</t>
  </si>
  <si>
    <t>0721669324</t>
  </si>
  <si>
    <t>CUS37535</t>
  </si>
  <si>
    <t>12/11/1980</t>
  </si>
  <si>
    <t>CM7817881ZT</t>
  </si>
  <si>
    <t>0713726327</t>
  </si>
  <si>
    <t>CUS64040</t>
  </si>
  <si>
    <t>Namutebi</t>
  </si>
  <si>
    <t>05/02/2000</t>
  </si>
  <si>
    <t>CM7907400UW</t>
  </si>
  <si>
    <t>0715476257</t>
  </si>
  <si>
    <t>CUS24168</t>
  </si>
  <si>
    <t>Elizabeth</t>
  </si>
  <si>
    <t>11/02/1986</t>
  </si>
  <si>
    <t>CM4731818FX</t>
  </si>
  <si>
    <t>0726120253</t>
  </si>
  <si>
    <t>CUS39219</t>
  </si>
  <si>
    <t>16/11/1982</t>
  </si>
  <si>
    <t>CM6507321HB</t>
  </si>
  <si>
    <t>0726891254</t>
  </si>
  <si>
    <t>CUS99065</t>
  </si>
  <si>
    <t>Tumwine</t>
  </si>
  <si>
    <t>05/03/1970</t>
  </si>
  <si>
    <t>CM5382463EZ</t>
  </si>
  <si>
    <t>0721641849</t>
  </si>
  <si>
    <t>CUS88193</t>
  </si>
  <si>
    <t>29/07/1984</t>
  </si>
  <si>
    <t>CM9580255DX</t>
  </si>
  <si>
    <t>0715273534</t>
  </si>
  <si>
    <t>CUS67154</t>
  </si>
  <si>
    <t>Moses</t>
  </si>
  <si>
    <t>04/05/1981</t>
  </si>
  <si>
    <t>CM8235969BR</t>
  </si>
  <si>
    <t>0726266630</t>
  </si>
  <si>
    <t>CUS49363</t>
  </si>
  <si>
    <t>Doreen</t>
  </si>
  <si>
    <t>Apio</t>
  </si>
  <si>
    <t>20/08/1979</t>
  </si>
  <si>
    <t>CM7751158SO</t>
  </si>
  <si>
    <t>0718053918</t>
  </si>
  <si>
    <t>CUS98777</t>
  </si>
  <si>
    <t>Irene</t>
  </si>
  <si>
    <t>Nsubuga</t>
  </si>
  <si>
    <t>21/03/1983</t>
  </si>
  <si>
    <t>CM1006810HF</t>
  </si>
  <si>
    <t>0776406444</t>
  </si>
  <si>
    <t>CUS67905</t>
  </si>
  <si>
    <t>Lydia</t>
  </si>
  <si>
    <t>07/12/1987</t>
  </si>
  <si>
    <t>CM8938746UY</t>
  </si>
  <si>
    <t>0783846949</t>
  </si>
  <si>
    <t>CUS47196</t>
  </si>
  <si>
    <t>11/03/1969</t>
  </si>
  <si>
    <t>CM4940441RF</t>
  </si>
  <si>
    <t>0713472189</t>
  </si>
  <si>
    <t>CUS16057</t>
  </si>
  <si>
    <t>06/06/1985</t>
  </si>
  <si>
    <t>CM7953166XO</t>
  </si>
  <si>
    <t>0787442089</t>
  </si>
  <si>
    <t>CUS62383</t>
  </si>
  <si>
    <t>Ssali</t>
  </si>
  <si>
    <t>08/09/1998</t>
  </si>
  <si>
    <t>CM2788238UF</t>
  </si>
  <si>
    <t>0789689889</t>
  </si>
  <si>
    <t>CUS16582</t>
  </si>
  <si>
    <t>23/06/1985</t>
  </si>
  <si>
    <t>CM3237058UR</t>
  </si>
  <si>
    <t>0776323376</t>
  </si>
  <si>
    <t>CUS90301</t>
  </si>
  <si>
    <t>21/02/1972</t>
  </si>
  <si>
    <t>CM8963715LT</t>
  </si>
  <si>
    <t>0785652512</t>
  </si>
  <si>
    <t>CUS92149</t>
  </si>
  <si>
    <t>23/06/1968</t>
  </si>
  <si>
    <t>CM5793722GI</t>
  </si>
  <si>
    <t>0772351868</t>
  </si>
  <si>
    <t>CUS29769</t>
  </si>
  <si>
    <t>08/09/1996</t>
  </si>
  <si>
    <t>CM4589533BK</t>
  </si>
  <si>
    <t>0778816912</t>
  </si>
  <si>
    <t>CUS18161</t>
  </si>
  <si>
    <t>Lunkuse</t>
  </si>
  <si>
    <t>22/06/1982</t>
  </si>
  <si>
    <t>CM1327691WT</t>
  </si>
  <si>
    <t>0769002392</t>
  </si>
  <si>
    <t>CUS56105</t>
  </si>
  <si>
    <t>Mwesigwa</t>
  </si>
  <si>
    <t>19/10/1983</t>
  </si>
  <si>
    <t>CM4700025MH</t>
  </si>
  <si>
    <t>0761486955</t>
  </si>
  <si>
    <t>CUS54057</t>
  </si>
  <si>
    <t>John</t>
  </si>
  <si>
    <t>19/12/1985</t>
  </si>
  <si>
    <t>CM3141239ZN</t>
  </si>
  <si>
    <t>0761454696</t>
  </si>
  <si>
    <t>CUS94246</t>
  </si>
  <si>
    <t>25/02/1973</t>
  </si>
  <si>
    <t>CM1843636GI</t>
  </si>
  <si>
    <t>0766483562</t>
  </si>
  <si>
    <t>CUS59692</t>
  </si>
  <si>
    <t>26/04/1976</t>
  </si>
  <si>
    <t>CM2374158MT</t>
  </si>
  <si>
    <t>0706871360</t>
  </si>
  <si>
    <t>CUS95215</t>
  </si>
  <si>
    <t>01/11/1998</t>
  </si>
  <si>
    <t>CM1520596YF</t>
  </si>
  <si>
    <t>0703556551</t>
  </si>
  <si>
    <t>CUS26544</t>
  </si>
  <si>
    <t>20/04/1990</t>
  </si>
  <si>
    <t>CM4656838MG</t>
  </si>
  <si>
    <t>0723815034</t>
  </si>
  <si>
    <t>CUS31465</t>
  </si>
  <si>
    <t>Namukasa</t>
  </si>
  <si>
    <t>30/12/1978</t>
  </si>
  <si>
    <t>CM7296605KS</t>
  </si>
  <si>
    <t>0705074336</t>
  </si>
  <si>
    <t>CUS49529</t>
  </si>
  <si>
    <t>Jackline</t>
  </si>
  <si>
    <t>19/09/2000</t>
  </si>
  <si>
    <t>CM1689025JL</t>
  </si>
  <si>
    <t>0722156902</t>
  </si>
  <si>
    <t>CUS11658</t>
  </si>
  <si>
    <t>26/09/1969</t>
  </si>
  <si>
    <t>CM8273315YQ</t>
  </si>
  <si>
    <t>0763566765</t>
  </si>
  <si>
    <t>CUS33086</t>
  </si>
  <si>
    <t>Francis</t>
  </si>
  <si>
    <t>18/08/1992</t>
  </si>
  <si>
    <t>CM9111742MV</t>
  </si>
  <si>
    <t>0775502929</t>
  </si>
  <si>
    <t>CUS42177</t>
  </si>
  <si>
    <t>10/12/1975</t>
  </si>
  <si>
    <t>CM8796514OR</t>
  </si>
  <si>
    <t>0721481506</t>
  </si>
  <si>
    <t>CUS52600</t>
  </si>
  <si>
    <t>01/12/1980</t>
  </si>
  <si>
    <t>CM5334434IW</t>
  </si>
  <si>
    <t>0785635017</t>
  </si>
  <si>
    <t>CUS77715</t>
  </si>
  <si>
    <t>Kenneth</t>
  </si>
  <si>
    <t>20/04/1997</t>
  </si>
  <si>
    <t>CM7818732MT</t>
  </si>
  <si>
    <t>0788987516</t>
  </si>
  <si>
    <t>CUS68743</t>
  </si>
  <si>
    <t>10/12/1974</t>
  </si>
  <si>
    <t>CM7784725RH</t>
  </si>
  <si>
    <t>0777191135</t>
  </si>
  <si>
    <t>CUS82544</t>
  </si>
  <si>
    <t>18/06/1998</t>
  </si>
  <si>
    <t>CM6549757JL</t>
  </si>
  <si>
    <t>0725217853</t>
  </si>
  <si>
    <t>CUS25814</t>
  </si>
  <si>
    <t>29/04/1998</t>
  </si>
  <si>
    <t>CM9990305YR</t>
  </si>
  <si>
    <t>0714630331</t>
  </si>
  <si>
    <t>CUS46241</t>
  </si>
  <si>
    <t>06/07/1969</t>
  </si>
  <si>
    <t>CM4256752HJ</t>
  </si>
  <si>
    <t>0721237370</t>
  </si>
  <si>
    <t>CUS45954</t>
  </si>
  <si>
    <t>David</t>
  </si>
  <si>
    <t>14/04/1996</t>
  </si>
  <si>
    <t>CM3118618QT</t>
  </si>
  <si>
    <t>0701205779</t>
  </si>
  <si>
    <t>CUS71524</t>
  </si>
  <si>
    <t>09/04/1973</t>
  </si>
  <si>
    <t>CM1861958GW</t>
  </si>
  <si>
    <t>0702096280</t>
  </si>
  <si>
    <t>CUS74454</t>
  </si>
  <si>
    <t>22/10/1971</t>
  </si>
  <si>
    <t>CM3503120VY</t>
  </si>
  <si>
    <t>0705163953</t>
  </si>
  <si>
    <t>CUS83147</t>
  </si>
  <si>
    <t>18/10/1999</t>
  </si>
  <si>
    <t>CM9767312JX</t>
  </si>
  <si>
    <t>0728194570</t>
  </si>
  <si>
    <t>CUS84531</t>
  </si>
  <si>
    <t>Richard</t>
  </si>
  <si>
    <t>20/03/1999</t>
  </si>
  <si>
    <t>CM4486102QG</t>
  </si>
  <si>
    <t>0703634980</t>
  </si>
  <si>
    <t>CUS32782</t>
  </si>
  <si>
    <t>13/02/1965</t>
  </si>
  <si>
    <t>CM7853787LP</t>
  </si>
  <si>
    <t>0721547605</t>
  </si>
  <si>
    <t>CUS47762</t>
  </si>
  <si>
    <t>12/03/1968</t>
  </si>
  <si>
    <t>CM4916201YU</t>
  </si>
  <si>
    <t>0784318855</t>
  </si>
  <si>
    <t>CUS25043</t>
  </si>
  <si>
    <t>01/12/1976</t>
  </si>
  <si>
    <t>CM3386328BE</t>
  </si>
  <si>
    <t>0725842082</t>
  </si>
  <si>
    <t>CUS26299</t>
  </si>
  <si>
    <t>22/05/1996</t>
  </si>
  <si>
    <t>CM7752972YN</t>
  </si>
  <si>
    <t>0768344375</t>
  </si>
  <si>
    <t>CUS88385</t>
  </si>
  <si>
    <t>13/12/1997</t>
  </si>
  <si>
    <t>CM6407658PA</t>
  </si>
  <si>
    <t>0711348050</t>
  </si>
  <si>
    <t>CUS85529</t>
  </si>
  <si>
    <t>08/02/1986</t>
  </si>
  <si>
    <t>CM9706768QX</t>
  </si>
  <si>
    <t>0718312936</t>
  </si>
  <si>
    <t>CUS21959</t>
  </si>
  <si>
    <t>14/12/1979</t>
  </si>
  <si>
    <t>CM6386463RW</t>
  </si>
  <si>
    <t>0727906258</t>
  </si>
  <si>
    <t>CUS47777</t>
  </si>
  <si>
    <t>27/05/1985</t>
  </si>
  <si>
    <t>CM2477398II</t>
  </si>
  <si>
    <t>0769633492</t>
  </si>
  <si>
    <t>CUS96200</t>
  </si>
  <si>
    <t>08/06/1967</t>
  </si>
  <si>
    <t>CM4147112NQ</t>
  </si>
  <si>
    <t>0768416216</t>
  </si>
  <si>
    <t>CUS36680</t>
  </si>
  <si>
    <t>03/12/1977</t>
  </si>
  <si>
    <t>CM8350368WM</t>
  </si>
  <si>
    <t>0705014745</t>
  </si>
  <si>
    <t>CUS50730</t>
  </si>
  <si>
    <t>08/03/1969</t>
  </si>
  <si>
    <t>CM4769851ZX</t>
  </si>
  <si>
    <t>0762970754</t>
  </si>
  <si>
    <t>CUS75323</t>
  </si>
  <si>
    <t>22/08/1983</t>
  </si>
  <si>
    <t>CM9094999ZG</t>
  </si>
  <si>
    <t>0773426689</t>
  </si>
  <si>
    <t>CUS34983</t>
  </si>
  <si>
    <t>18/02/1968</t>
  </si>
  <si>
    <t>CM5634662UW</t>
  </si>
  <si>
    <t>0729518424</t>
  </si>
  <si>
    <t>CUS10336</t>
  </si>
  <si>
    <t>01/05/1991</t>
  </si>
  <si>
    <t>CM9214801WL</t>
  </si>
  <si>
    <t>0766790218</t>
  </si>
  <si>
    <t>CUS82340</t>
  </si>
  <si>
    <t>09/06/1979</t>
  </si>
  <si>
    <t>CM4165061ZG</t>
  </si>
  <si>
    <t>0764918527</t>
  </si>
  <si>
    <t>CUS15720</t>
  </si>
  <si>
    <t>20/08/1996</t>
  </si>
  <si>
    <t>CM7395997KR</t>
  </si>
  <si>
    <t>0783551903</t>
  </si>
  <si>
    <t>CUS14852</t>
  </si>
  <si>
    <t>03/07/1969</t>
  </si>
  <si>
    <t>CM8387112CX</t>
  </si>
  <si>
    <t>0703418526</t>
  </si>
  <si>
    <t>CUS95823</t>
  </si>
  <si>
    <t>Joyce</t>
  </si>
  <si>
    <t>22/01/2000</t>
  </si>
  <si>
    <t>CM5446344IS</t>
  </si>
  <si>
    <t>0782347467</t>
  </si>
  <si>
    <t>CUS98389</t>
  </si>
  <si>
    <t>12/02/1993</t>
  </si>
  <si>
    <t>CM9186400WA</t>
  </si>
  <si>
    <t>0704938791</t>
  </si>
  <si>
    <t>CUS39817</t>
  </si>
  <si>
    <t>09/02/1999</t>
  </si>
  <si>
    <t>CM2686231LS</t>
  </si>
  <si>
    <t>0701771600</t>
  </si>
  <si>
    <t>CUS17355</t>
  </si>
  <si>
    <t>27/04/1984</t>
  </si>
  <si>
    <t>CM3442255GK</t>
  </si>
  <si>
    <t>0784020853</t>
  </si>
  <si>
    <t>CUS32946</t>
  </si>
  <si>
    <t>19/10/1992</t>
  </si>
  <si>
    <t>CM5040453MP</t>
  </si>
  <si>
    <t>0718736811</t>
  </si>
  <si>
    <t>CUS70236</t>
  </si>
  <si>
    <t>14/11/1985</t>
  </si>
  <si>
    <t>CM5825658RE</t>
  </si>
  <si>
    <t>0766797629</t>
  </si>
  <si>
    <t>CUS93746</t>
  </si>
  <si>
    <t>29/06/1985</t>
  </si>
  <si>
    <t>CM6068760FK</t>
  </si>
  <si>
    <t>0762789344</t>
  </si>
  <si>
    <t>CUS59986</t>
  </si>
  <si>
    <t>14/05/1996</t>
  </si>
  <si>
    <t>CM5953150AV</t>
  </si>
  <si>
    <t>0765605016</t>
  </si>
  <si>
    <t>CUS84177</t>
  </si>
  <si>
    <t>03/11/1977</t>
  </si>
  <si>
    <t>CM4860745PJ</t>
  </si>
  <si>
    <t>0784189885</t>
  </si>
  <si>
    <t>CUS98835</t>
  </si>
  <si>
    <t>23/02/1993</t>
  </si>
  <si>
    <t>CM1661401IL</t>
  </si>
  <si>
    <t>0777121355</t>
  </si>
  <si>
    <t>CUS21813</t>
  </si>
  <si>
    <t>17/11/1972</t>
  </si>
  <si>
    <t>CM4368777DO</t>
  </si>
  <si>
    <t>0729906224</t>
  </si>
  <si>
    <t>CUS31567</t>
  </si>
  <si>
    <t>29/03/1978</t>
  </si>
  <si>
    <t>CM6682698UM</t>
  </si>
  <si>
    <t>0703361510</t>
  </si>
  <si>
    <t>CUS98647</t>
  </si>
  <si>
    <t>19/01/1969</t>
  </si>
  <si>
    <t>CM7619862AN</t>
  </si>
  <si>
    <t>0767183841</t>
  </si>
  <si>
    <t>CUS86619</t>
  </si>
  <si>
    <t>11/11/1969</t>
  </si>
  <si>
    <t>CM4922880MQ</t>
  </si>
  <si>
    <t>0776503032</t>
  </si>
  <si>
    <t>CUS94889</t>
  </si>
  <si>
    <t>13/06/1996</t>
  </si>
  <si>
    <t>CM6069909QD</t>
  </si>
  <si>
    <t>0701624315</t>
  </si>
  <si>
    <t>CUS74569</t>
  </si>
  <si>
    <t>11/02/1989</t>
  </si>
  <si>
    <t>CM3276065KJ</t>
  </si>
  <si>
    <t>0788031780</t>
  </si>
  <si>
    <t>CUS64379</t>
  </si>
  <si>
    <t>13/08/1992</t>
  </si>
  <si>
    <t>CM7847048YH</t>
  </si>
  <si>
    <t>0787216461</t>
  </si>
  <si>
    <t>CUS68115</t>
  </si>
  <si>
    <t>16/06/1969</t>
  </si>
  <si>
    <t>CM7162857OZ</t>
  </si>
  <si>
    <t>0722015861</t>
  </si>
  <si>
    <t>CUS46160</t>
  </si>
  <si>
    <t>10/02/1969</t>
  </si>
  <si>
    <t>CM4558545QP</t>
  </si>
  <si>
    <t>0701848566</t>
  </si>
  <si>
    <t>CUS41925</t>
  </si>
  <si>
    <t>30/01/1968</t>
  </si>
  <si>
    <t>CM4475523PV</t>
  </si>
  <si>
    <t>0716512314</t>
  </si>
  <si>
    <t>CUS88116</t>
  </si>
  <si>
    <t>31/10/1970</t>
  </si>
  <si>
    <t>CM5205279UC</t>
  </si>
  <si>
    <t>0703211291</t>
  </si>
  <si>
    <t>CUS56955</t>
  </si>
  <si>
    <t>16/09/1965</t>
  </si>
  <si>
    <t>CM3923366GD</t>
  </si>
  <si>
    <t>0769826250</t>
  </si>
  <si>
    <t>CUS18330</t>
  </si>
  <si>
    <t>09/01/1988</t>
  </si>
  <si>
    <t>CM2829622LF</t>
  </si>
  <si>
    <t>0771727544</t>
  </si>
  <si>
    <t>CUS70036</t>
  </si>
  <si>
    <t>07/01/1983</t>
  </si>
  <si>
    <t>CM8151684RM</t>
  </si>
  <si>
    <t>0762232969</t>
  </si>
  <si>
    <t>CUS52219</t>
  </si>
  <si>
    <t>30/08/1970</t>
  </si>
  <si>
    <t>CM5614002QP</t>
  </si>
  <si>
    <t>0786455706</t>
  </si>
  <si>
    <t>CUS88301</t>
  </si>
  <si>
    <t>05/09/1987</t>
  </si>
  <si>
    <t>CM8217547CS</t>
  </si>
  <si>
    <t>0784607488</t>
  </si>
  <si>
    <t>CUS69186</t>
  </si>
  <si>
    <t>06/05/1985</t>
  </si>
  <si>
    <t>CM7689582KC</t>
  </si>
  <si>
    <t>0766243275</t>
  </si>
  <si>
    <t>CUS59060</t>
  </si>
  <si>
    <t>05/01/1968</t>
  </si>
  <si>
    <t>CM2530497VC</t>
  </si>
  <si>
    <t>0707251976</t>
  </si>
  <si>
    <t>Loan_ID</t>
  </si>
  <si>
    <t>Loan_Officer</t>
  </si>
  <si>
    <t>Sector</t>
  </si>
  <si>
    <t>Purpose</t>
  </si>
  <si>
    <t>Disbursement_Date</t>
  </si>
  <si>
    <t>Maturity_Date</t>
  </si>
  <si>
    <t>Tenor_Months</t>
  </si>
  <si>
    <t>Principal_Amount_UGX</t>
  </si>
  <si>
    <t>Interest_Rate</t>
  </si>
  <si>
    <t>Outstanding_Balance_UGX</t>
  </si>
  <si>
    <t>Loan_Status</t>
  </si>
  <si>
    <t>NPL_Flag</t>
  </si>
  <si>
    <t>Days_Past_Due</t>
  </si>
  <si>
    <t>Collateral_Type</t>
  </si>
  <si>
    <t>LN683397</t>
  </si>
  <si>
    <t>Aciro Irene</t>
  </si>
  <si>
    <t>Trade &amp; Commerce</t>
  </si>
  <si>
    <t>Salary Advance</t>
  </si>
  <si>
    <t>NPL</t>
  </si>
  <si>
    <t>Vehicle Logbook</t>
  </si>
  <si>
    <t>LN899649</t>
  </si>
  <si>
    <t>Nakayiwa Joyce</t>
  </si>
  <si>
    <t>Personal Loans</t>
  </si>
  <si>
    <t>Equipment Purchase</t>
  </si>
  <si>
    <t>Approved</t>
  </si>
  <si>
    <t>Salary Assignment</t>
  </si>
  <si>
    <t>LN876962</t>
  </si>
  <si>
    <t>Kato David</t>
  </si>
  <si>
    <t>Education Fees</t>
  </si>
  <si>
    <t>LN563516</t>
  </si>
  <si>
    <t>Museveni Robert</t>
  </si>
  <si>
    <t>Asset Purchase</t>
  </si>
  <si>
    <t xml:space="preserve">  Active</t>
  </si>
  <si>
    <t>Land Title</t>
  </si>
  <si>
    <t>LN883301</t>
  </si>
  <si>
    <t>Nakato Patricia</t>
  </si>
  <si>
    <t>Healthcare</t>
  </si>
  <si>
    <t>Medical Expenses</t>
  </si>
  <si>
    <t>LN121869</t>
  </si>
  <si>
    <t>Mulumba Henry</t>
  </si>
  <si>
    <t>Debt Refinancing</t>
  </si>
  <si>
    <t>Written Off</t>
  </si>
  <si>
    <t>LN303322</t>
  </si>
  <si>
    <t>Ssemwogerere Paul</t>
  </si>
  <si>
    <t>Manufacturing</t>
  </si>
  <si>
    <t>Insurance Policy</t>
  </si>
  <si>
    <t>LN757685</t>
  </si>
  <si>
    <t>Okello James</t>
  </si>
  <si>
    <t>Agricultural Input</t>
  </si>
  <si>
    <t>Restructured</t>
  </si>
  <si>
    <t>LN503159</t>
  </si>
  <si>
    <t>Tourism</t>
  </si>
  <si>
    <t>Land Purchase</t>
  </si>
  <si>
    <t>21/01/2022</t>
  </si>
  <si>
    <t>LN481574</t>
  </si>
  <si>
    <t>Vehicle Purchase</t>
  </si>
  <si>
    <t>LPO</t>
  </si>
  <si>
    <t>LN510997</t>
  </si>
  <si>
    <t>Apio Grace</t>
  </si>
  <si>
    <t>None</t>
  </si>
  <si>
    <t>LN262471</t>
  </si>
  <si>
    <t>Closed</t>
  </si>
  <si>
    <t>LN888939</t>
  </si>
  <si>
    <t>LN772324</t>
  </si>
  <si>
    <t>Nanteza Florence</t>
  </si>
  <si>
    <t>LN185569</t>
  </si>
  <si>
    <t>Education</t>
  </si>
  <si>
    <t>LN653408</t>
  </si>
  <si>
    <t>Real Estate</t>
  </si>
  <si>
    <t>Business Expansion</t>
  </si>
  <si>
    <t>15.6%</t>
  </si>
  <si>
    <t>Business Assets</t>
  </si>
  <si>
    <t>LN296412</t>
  </si>
  <si>
    <t>Share Certificate</t>
  </si>
  <si>
    <t>LN710169</t>
  </si>
  <si>
    <t>Agriculture</t>
  </si>
  <si>
    <t>LN517568</t>
  </si>
  <si>
    <t>Active</t>
  </si>
  <si>
    <t>LN644500</t>
  </si>
  <si>
    <t>Bwogi Kenneth</t>
  </si>
  <si>
    <t>LN556068</t>
  </si>
  <si>
    <t>restructured</t>
  </si>
  <si>
    <t>LN571778</t>
  </si>
  <si>
    <t>LN399449</t>
  </si>
  <si>
    <t>Home Improvement</t>
  </si>
  <si>
    <t>LN633469</t>
  </si>
  <si>
    <t>LN231414</t>
  </si>
  <si>
    <t>LN987025</t>
  </si>
  <si>
    <t>LN147670</t>
  </si>
  <si>
    <t>LN736129</t>
  </si>
  <si>
    <t>12/09/2022</t>
  </si>
  <si>
    <t>LN267457</t>
  </si>
  <si>
    <t>LN593446</t>
  </si>
  <si>
    <t>Fixed Deposit</t>
  </si>
  <si>
    <t>LN740725</t>
  </si>
  <si>
    <t>LN443897</t>
  </si>
  <si>
    <t>LN127941</t>
  </si>
  <si>
    <t>21.3%</t>
  </si>
  <si>
    <t>LN824042</t>
  </si>
  <si>
    <t>LN942690</t>
  </si>
  <si>
    <t>LN498138</t>
  </si>
  <si>
    <t>LN802371</t>
  </si>
  <si>
    <t>Working Capital</t>
  </si>
  <si>
    <t>LN436768</t>
  </si>
  <si>
    <t>closed</t>
  </si>
  <si>
    <t>LN732063</t>
  </si>
  <si>
    <t>LN769752</t>
  </si>
  <si>
    <t xml:space="preserve">  Closed</t>
  </si>
  <si>
    <t>LN785436</t>
  </si>
  <si>
    <t>Namutebi Sarah</t>
  </si>
  <si>
    <t>LN836038</t>
  </si>
  <si>
    <t>LN813341</t>
  </si>
  <si>
    <t>LN667451</t>
  </si>
  <si>
    <t>04/18/2023</t>
  </si>
  <si>
    <t>LN663356</t>
  </si>
  <si>
    <t>LN744793</t>
  </si>
  <si>
    <t>LN704095</t>
  </si>
  <si>
    <t>Transport</t>
  </si>
  <si>
    <t>LN536548</t>
  </si>
  <si>
    <t>LN182911</t>
  </si>
  <si>
    <t>16.6%</t>
  </si>
  <si>
    <t>LN223014</t>
  </si>
  <si>
    <t>LN312994</t>
  </si>
  <si>
    <t>LN900441</t>
  </si>
  <si>
    <t>LN983472</t>
  </si>
  <si>
    <t>N/A</t>
  </si>
  <si>
    <t>LN626611</t>
  </si>
  <si>
    <t>LN999908</t>
  </si>
  <si>
    <t>LN384263</t>
  </si>
  <si>
    <t>LN892313</t>
  </si>
  <si>
    <t>LN714334</t>
  </si>
  <si>
    <t>LN296494</t>
  </si>
  <si>
    <t>LN646417</t>
  </si>
  <si>
    <t>LN419457</t>
  </si>
  <si>
    <t>LN494322</t>
  </si>
  <si>
    <t>LN495303</t>
  </si>
  <si>
    <t>14.5%</t>
  </si>
  <si>
    <t>LN519029</t>
  </si>
  <si>
    <t>LN190025</t>
  </si>
  <si>
    <t>LN876459</t>
  </si>
  <si>
    <t>LN837945</t>
  </si>
  <si>
    <t>07/12/2023</t>
  </si>
  <si>
    <t>LN840282</t>
  </si>
  <si>
    <t>LN281649</t>
  </si>
  <si>
    <t>LN186686</t>
  </si>
  <si>
    <t>LN853905</t>
  </si>
  <si>
    <t>LN245998</t>
  </si>
  <si>
    <t>18.5%</t>
  </si>
  <si>
    <t>LN835499</t>
  </si>
  <si>
    <t>LN486999</t>
  </si>
  <si>
    <t>LN460437</t>
  </si>
  <si>
    <t>LN780432</t>
  </si>
  <si>
    <t>LN174268</t>
  </si>
  <si>
    <t>LN746002</t>
  </si>
  <si>
    <t>LN790388</t>
  </si>
  <si>
    <t>LN431845</t>
  </si>
  <si>
    <t>LN521818</t>
  </si>
  <si>
    <t>LN738407</t>
  </si>
  <si>
    <t>LN550179</t>
  </si>
  <si>
    <t>28.05.2023</t>
  </si>
  <si>
    <t>21.0%</t>
  </si>
  <si>
    <t xml:space="preserve">  Restructured</t>
  </si>
  <si>
    <t>LN148215</t>
  </si>
  <si>
    <t>LN520400</t>
  </si>
  <si>
    <t>LN257880</t>
  </si>
  <si>
    <t>11/12/2022</t>
  </si>
  <si>
    <t>14.0%</t>
  </si>
  <si>
    <t>LN197545</t>
  </si>
  <si>
    <t>LN433507</t>
  </si>
  <si>
    <t>LN265271</t>
  </si>
  <si>
    <t>LN942946</t>
  </si>
  <si>
    <t>LN948179</t>
  </si>
  <si>
    <t>LN623125</t>
  </si>
  <si>
    <t>LN726121</t>
  </si>
  <si>
    <t>LN348041</t>
  </si>
  <si>
    <t>27.3%</t>
  </si>
  <si>
    <t>LN743966</t>
  </si>
  <si>
    <t>LN610866</t>
  </si>
  <si>
    <t>18.3%</t>
  </si>
  <si>
    <t>LN741079</t>
  </si>
  <si>
    <t>LN504684</t>
  </si>
  <si>
    <t>LN278368</t>
  </si>
  <si>
    <t>LN378150</t>
  </si>
  <si>
    <t>LN423331</t>
  </si>
  <si>
    <t>LN799891</t>
  </si>
  <si>
    <t>LN939333</t>
  </si>
  <si>
    <t>LN998235</t>
  </si>
  <si>
    <t>LN699809</t>
  </si>
  <si>
    <t>LN202988</t>
  </si>
  <si>
    <t>LN426236</t>
  </si>
  <si>
    <t>LN612530</t>
  </si>
  <si>
    <t>LN783238</t>
  </si>
  <si>
    <t>LN107704</t>
  </si>
  <si>
    <t>LN792616</t>
  </si>
  <si>
    <t>LN278243</t>
  </si>
  <si>
    <t>LN156284</t>
  </si>
  <si>
    <t>LN916779</t>
  </si>
  <si>
    <t>LN309100</t>
  </si>
  <si>
    <t>LN649577</t>
  </si>
  <si>
    <t>LN368214</t>
  </si>
  <si>
    <t>LN735053</t>
  </si>
  <si>
    <t>LN604012</t>
  </si>
  <si>
    <t>LN993647</t>
  </si>
  <si>
    <t>02/22/2022</t>
  </si>
  <si>
    <t>LN519692</t>
  </si>
  <si>
    <t>LN237002</t>
  </si>
  <si>
    <t>LN809147</t>
  </si>
  <si>
    <t>LN346415</t>
  </si>
  <si>
    <t>LN633030</t>
  </si>
  <si>
    <t>01/15/2023</t>
  </si>
  <si>
    <t>LN674295</t>
  </si>
  <si>
    <t>LN764000</t>
  </si>
  <si>
    <t>LN437477</t>
  </si>
  <si>
    <t>LN310647</t>
  </si>
  <si>
    <t>LN988459</t>
  </si>
  <si>
    <t>20-Feb-2023</t>
  </si>
  <si>
    <t>LN207458</t>
  </si>
  <si>
    <t>LN764575</t>
  </si>
  <si>
    <t>LN446620</t>
  </si>
  <si>
    <t>LN466375</t>
  </si>
  <si>
    <t>LN934883</t>
  </si>
  <si>
    <t>LN757386</t>
  </si>
  <si>
    <t>26.3%</t>
  </si>
  <si>
    <t>LN702891</t>
  </si>
  <si>
    <t>LN190707</t>
  </si>
  <si>
    <t>LN513224</t>
  </si>
  <si>
    <t>LN583671</t>
  </si>
  <si>
    <t>LN259797</t>
  </si>
  <si>
    <t>LN736095</t>
  </si>
  <si>
    <t>LN483588</t>
  </si>
  <si>
    <t>LN606990</t>
  </si>
  <si>
    <t>LN697856</t>
  </si>
  <si>
    <t>LN561267</t>
  </si>
  <si>
    <t>30-Jul-2022</t>
  </si>
  <si>
    <t>LN145240</t>
  </si>
  <si>
    <t>LN249644</t>
  </si>
  <si>
    <t>LN200976</t>
  </si>
  <si>
    <t>LN499755</t>
  </si>
  <si>
    <t>LN211760</t>
  </si>
  <si>
    <t>LN461083</t>
  </si>
  <si>
    <t>LN556526</t>
  </si>
  <si>
    <t>LN728636</t>
  </si>
  <si>
    <t>LN686273</t>
  </si>
  <si>
    <t>LN827912</t>
  </si>
  <si>
    <t>LN641593</t>
  </si>
  <si>
    <t>LN872918</t>
  </si>
  <si>
    <t>LN702427</t>
  </si>
  <si>
    <t>LN430984</t>
  </si>
  <si>
    <t>LN520051</t>
  </si>
  <si>
    <t>LN241003</t>
  </si>
  <si>
    <t>LN120798</t>
  </si>
  <si>
    <t>LN453777</t>
  </si>
  <si>
    <t>LN363871</t>
  </si>
  <si>
    <t>LN564687</t>
  </si>
  <si>
    <t>LN770593</t>
  </si>
  <si>
    <t>LN615827</t>
  </si>
  <si>
    <t>LN351198</t>
  </si>
  <si>
    <t>LN382271</t>
  </si>
  <si>
    <t>LN290425</t>
  </si>
  <si>
    <t>LN863611</t>
  </si>
  <si>
    <t>LN821846</t>
  </si>
  <si>
    <t>LN302338</t>
  </si>
  <si>
    <t>LN656937</t>
  </si>
  <si>
    <t>LN902930</t>
  </si>
  <si>
    <t>LN651363</t>
  </si>
  <si>
    <t>LN654718</t>
  </si>
  <si>
    <t>LN475351</t>
  </si>
  <si>
    <t>LN764001</t>
  </si>
  <si>
    <t>LN997287</t>
  </si>
  <si>
    <t>LN858729</t>
  </si>
  <si>
    <t>LN990742</t>
  </si>
  <si>
    <t>LN452497</t>
  </si>
  <si>
    <t>LN354085</t>
  </si>
  <si>
    <t>LN753453</t>
  </si>
  <si>
    <t>LN322167</t>
  </si>
  <si>
    <t>22.2%</t>
  </si>
  <si>
    <t xml:space="preserve">  Approved</t>
  </si>
  <si>
    <t>LN507523</t>
  </si>
  <si>
    <t>LN359409</t>
  </si>
  <si>
    <t>LN393804</t>
  </si>
  <si>
    <t>LN245308</t>
  </si>
  <si>
    <t>LN434168</t>
  </si>
  <si>
    <t>LN591534</t>
  </si>
  <si>
    <t>LN440677</t>
  </si>
  <si>
    <t>11/03/2024</t>
  </si>
  <si>
    <t>18.4%</t>
  </si>
  <si>
    <t>LN514828</t>
  </si>
  <si>
    <t>LN288503</t>
  </si>
  <si>
    <t>LN741804</t>
  </si>
  <si>
    <t>LN312705</t>
  </si>
  <si>
    <t>LN317723</t>
  </si>
  <si>
    <t>LN925551</t>
  </si>
  <si>
    <t>Repayment_ID</t>
  </si>
  <si>
    <t>Payment_Date</t>
  </si>
  <si>
    <t>Principal_Due_UGX</t>
  </si>
  <si>
    <t>Interest_Due_UGX</t>
  </si>
  <si>
    <t>Total_Due_UGX</t>
  </si>
  <si>
    <t>Amount_Paid_UGX</t>
  </si>
  <si>
    <t>Payment_Status</t>
  </si>
  <si>
    <t>Payment_Channel</t>
  </si>
  <si>
    <t>REP4507293</t>
  </si>
  <si>
    <t>03/01/2022</t>
  </si>
  <si>
    <t>Paid</t>
  </si>
  <si>
    <t>Mobile Money</t>
  </si>
  <si>
    <t>REP5818203</t>
  </si>
  <si>
    <t>2023-09-16</t>
  </si>
  <si>
    <t>Cheque</t>
  </si>
  <si>
    <t>REP9350710</t>
  </si>
  <si>
    <t>07/04/2024</t>
  </si>
  <si>
    <t>Missed</t>
  </si>
  <si>
    <t>Bank Branch</t>
  </si>
  <si>
    <t>REP4478434</t>
  </si>
  <si>
    <t>2023-09-23</t>
  </si>
  <si>
    <t>MISSED</t>
  </si>
  <si>
    <t>RTGS</t>
  </si>
  <si>
    <t>REP2138100</t>
  </si>
  <si>
    <t>04-Nov-2022</t>
  </si>
  <si>
    <t>Cash</t>
  </si>
  <si>
    <t>REP1488508</t>
  </si>
  <si>
    <t>29/06/2022</t>
  </si>
  <si>
    <t>Standing Order</t>
  </si>
  <si>
    <t>REP6622207</t>
  </si>
  <si>
    <t>13-Mar-2024</t>
  </si>
  <si>
    <t>REP6565326</t>
  </si>
  <si>
    <t>27-Jul-2024</t>
  </si>
  <si>
    <t>Partial</t>
  </si>
  <si>
    <t>REP7535837</t>
  </si>
  <si>
    <t>02/09/2023</t>
  </si>
  <si>
    <t>REP7234137</t>
  </si>
  <si>
    <t>29/04/2024</t>
  </si>
  <si>
    <t>EFT</t>
  </si>
  <si>
    <t>REP1418336</t>
  </si>
  <si>
    <t>10.05.2023</t>
  </si>
  <si>
    <t>REP2648387</t>
  </si>
  <si>
    <t>08/18/2024</t>
  </si>
  <si>
    <t>REP1738700</t>
  </si>
  <si>
    <t>18.05.2024</t>
  </si>
  <si>
    <t>REP6236888</t>
  </si>
  <si>
    <t>02-Jul-2024</t>
  </si>
  <si>
    <t>REP3642344</t>
  </si>
  <si>
    <t>28.04.2022</t>
  </si>
  <si>
    <t>REP5752443</t>
  </si>
  <si>
    <t>09/08/2022</t>
  </si>
  <si>
    <t>REP1846511</t>
  </si>
  <si>
    <t>01/28/2023</t>
  </si>
  <si>
    <t>REP9950391</t>
  </si>
  <si>
    <t>09/24/2024</t>
  </si>
  <si>
    <t>REP8808058</t>
  </si>
  <si>
    <t>26-Aug-2022</t>
  </si>
  <si>
    <t>REP6448586</t>
  </si>
  <si>
    <t>2023-05-15</t>
  </si>
  <si>
    <t>REP9521981</t>
  </si>
  <si>
    <t>REP5088457</t>
  </si>
  <si>
    <t>06/12/2022</t>
  </si>
  <si>
    <t>REP4962012</t>
  </si>
  <si>
    <t>10.11.2023</t>
  </si>
  <si>
    <t>REP8469488</t>
  </si>
  <si>
    <t>REP4650919</t>
  </si>
  <si>
    <t>23.05.2022</t>
  </si>
  <si>
    <t>REP4450430</t>
  </si>
  <si>
    <t>17-Jun-2024</t>
  </si>
  <si>
    <t>REP9563491</t>
  </si>
  <si>
    <t>17/05/2024</t>
  </si>
  <si>
    <t>REP5734685</t>
  </si>
  <si>
    <t>02/01/2022</t>
  </si>
  <si>
    <t>REP3909338</t>
  </si>
  <si>
    <t>05/23/2022</t>
  </si>
  <si>
    <t>REP3252801</t>
  </si>
  <si>
    <t>03/15/2022</t>
  </si>
  <si>
    <t>REP7976896</t>
  </si>
  <si>
    <t>2023-04-12</t>
  </si>
  <si>
    <t>REP7454441</t>
  </si>
  <si>
    <t>2022-08-20</t>
  </si>
  <si>
    <t>REP7156735</t>
  </si>
  <si>
    <t>09/28/2024</t>
  </si>
  <si>
    <t>REP9831661</t>
  </si>
  <si>
    <t>29.05.2024</t>
  </si>
  <si>
    <t>REP2309997</t>
  </si>
  <si>
    <t>11.10.2023</t>
  </si>
  <si>
    <t>REP8872413</t>
  </si>
  <si>
    <t>2024-01-22</t>
  </si>
  <si>
    <t>REP5369510</t>
  </si>
  <si>
    <t>07.10.2023</t>
  </si>
  <si>
    <t>REP2289534</t>
  </si>
  <si>
    <t>REP3535634</t>
  </si>
  <si>
    <t>03.04.2023</t>
  </si>
  <si>
    <t>REP3433874</t>
  </si>
  <si>
    <t>08/14/2024</t>
  </si>
  <si>
    <t>REP4537589</t>
  </si>
  <si>
    <t>REP9934217</t>
  </si>
  <si>
    <t>24/01/2023</t>
  </si>
  <si>
    <t>REP6296376</t>
  </si>
  <si>
    <t>27-Jun-2023</t>
  </si>
  <si>
    <t>REP5573311</t>
  </si>
  <si>
    <t>10/04/2022</t>
  </si>
  <si>
    <t>REP4270310</t>
  </si>
  <si>
    <t>12/12/2022</t>
  </si>
  <si>
    <t>REP2743274</t>
  </si>
  <si>
    <t>02/04/2023</t>
  </si>
  <si>
    <t>REP4637715</t>
  </si>
  <si>
    <t>06.09.2023</t>
  </si>
  <si>
    <t>REP4099902</t>
  </si>
  <si>
    <t>04/24/2022</t>
  </si>
  <si>
    <t>REP6425820</t>
  </si>
  <si>
    <t>15-Jun-2022</t>
  </si>
  <si>
    <t>REP3985161</t>
  </si>
  <si>
    <t>2022-03-13</t>
  </si>
  <si>
    <t>REP2782574</t>
  </si>
  <si>
    <t>29-Mar-2023</t>
  </si>
  <si>
    <t>REP1014556</t>
  </si>
  <si>
    <t>08.02.2022</t>
  </si>
  <si>
    <t>REP9021848</t>
  </si>
  <si>
    <t>02/18/2023</t>
  </si>
  <si>
    <t>REP6594190</t>
  </si>
  <si>
    <t>07.11.2022</t>
  </si>
  <si>
    <t>REP5864699</t>
  </si>
  <si>
    <t>27/07/2022</t>
  </si>
  <si>
    <t>REP8348147</t>
  </si>
  <si>
    <t>07/14/2022</t>
  </si>
  <si>
    <t>REP9383308</t>
  </si>
  <si>
    <t>15-Sep-2024</t>
  </si>
  <si>
    <t>REP2982850</t>
  </si>
  <si>
    <t>06.04.2024</t>
  </si>
  <si>
    <t>REP9202292</t>
  </si>
  <si>
    <t>20/01/2022</t>
  </si>
  <si>
    <t>REP3863692</t>
  </si>
  <si>
    <t>29.08.2023</t>
  </si>
  <si>
    <t>REP7744585</t>
  </si>
  <si>
    <t>2022-05-04</t>
  </si>
  <si>
    <t>REP3025773</t>
  </si>
  <si>
    <t>05/25/2022</t>
  </si>
  <si>
    <t>REP7310431</t>
  </si>
  <si>
    <t>11/06/2022</t>
  </si>
  <si>
    <t>REP8986164</t>
  </si>
  <si>
    <t>2022-05-10</t>
  </si>
  <si>
    <t>REP4019906</t>
  </si>
  <si>
    <t>05/27/2023</t>
  </si>
  <si>
    <t>REP9895263</t>
  </si>
  <si>
    <t>2022-04-08</t>
  </si>
  <si>
    <t>REP8959326</t>
  </si>
  <si>
    <t>2022-06-30</t>
  </si>
  <si>
    <t>REP8602555</t>
  </si>
  <si>
    <t>17.04.2022</t>
  </si>
  <si>
    <t>REP6468907</t>
  </si>
  <si>
    <t>2022-07-23</t>
  </si>
  <si>
    <t>REP7300387</t>
  </si>
  <si>
    <t>2022-08-14</t>
  </si>
  <si>
    <t>REP3288489</t>
  </si>
  <si>
    <t>08.01.2024</t>
  </si>
  <si>
    <t>REP8693677</t>
  </si>
  <si>
    <t>25.06.2022</t>
  </si>
  <si>
    <t>REP4853765</t>
  </si>
  <si>
    <t>02/26/2023</t>
  </si>
  <si>
    <t>REP5138170</t>
  </si>
  <si>
    <t>02.12.2022</t>
  </si>
  <si>
    <t>REP8896240</t>
  </si>
  <si>
    <t>27/02/2024</t>
  </si>
  <si>
    <t>REP1208423</t>
  </si>
  <si>
    <t>20/01/2024</t>
  </si>
  <si>
    <t>REP8705487</t>
  </si>
  <si>
    <t>2023-08-08</t>
  </si>
  <si>
    <t>REP7214624</t>
  </si>
  <si>
    <t>21-Apr-2023</t>
  </si>
  <si>
    <t>REP4475340</t>
  </si>
  <si>
    <t>03-Dec-2023</t>
  </si>
  <si>
    <t>REP1685757</t>
  </si>
  <si>
    <t>2023-01-11</t>
  </si>
  <si>
    <t>REP9027788</t>
  </si>
  <si>
    <t>19.08.2024</t>
  </si>
  <si>
    <t>REP6791940</t>
  </si>
  <si>
    <t>13.05.2023</t>
  </si>
  <si>
    <t>REP2101048</t>
  </si>
  <si>
    <t>02/07/2024</t>
  </si>
  <si>
    <t>REP3524938</t>
  </si>
  <si>
    <t>29.07.2022</t>
  </si>
  <si>
    <t>REP1360413</t>
  </si>
  <si>
    <t>13-Jul-2022</t>
  </si>
  <si>
    <t>REP6474513</t>
  </si>
  <si>
    <t>31-Aug-2023</t>
  </si>
  <si>
    <t>REP5362201</t>
  </si>
  <si>
    <t>11-May-2023</t>
  </si>
  <si>
    <t>REP3697606</t>
  </si>
  <si>
    <t>03/07/2023</t>
  </si>
  <si>
    <t>REP7202069</t>
  </si>
  <si>
    <t>REP3038264</t>
  </si>
  <si>
    <t>2022-01-26</t>
  </si>
  <si>
    <t>PAID</t>
  </si>
  <si>
    <t>REP6557966</t>
  </si>
  <si>
    <t>2023-12-24</t>
  </si>
  <si>
    <t>REP6682181</t>
  </si>
  <si>
    <t>26-Apr-2022</t>
  </si>
  <si>
    <t>REP6996068</t>
  </si>
  <si>
    <t>01-Dec-2022</t>
  </si>
  <si>
    <t>REP2465941</t>
  </si>
  <si>
    <t>09/06/2023</t>
  </si>
  <si>
    <t>REP8174616</t>
  </si>
  <si>
    <t>31.01.2023</t>
  </si>
  <si>
    <t>REP7972774</t>
  </si>
  <si>
    <t>03/30/2023</t>
  </si>
  <si>
    <t>REP4486033</t>
  </si>
  <si>
    <t>05/02/2023</t>
  </si>
  <si>
    <t>REP7954391</t>
  </si>
  <si>
    <t>07/24/2023</t>
  </si>
  <si>
    <t>REP6066600</t>
  </si>
  <si>
    <t>2023-08-23</t>
  </si>
  <si>
    <t>REP8927925</t>
  </si>
  <si>
    <t>2023-11-01</t>
  </si>
  <si>
    <t>REP2119456</t>
  </si>
  <si>
    <t>02/03/2024</t>
  </si>
  <si>
    <t>REP1294357</t>
  </si>
  <si>
    <t>2022-09-23</t>
  </si>
  <si>
    <t>REP6972425</t>
  </si>
  <si>
    <t>2022-10-24</t>
  </si>
  <si>
    <t>REP6412444</t>
  </si>
  <si>
    <t>20-Nov-2022</t>
  </si>
  <si>
    <t>REP1216386</t>
  </si>
  <si>
    <t>15.06.2023</t>
  </si>
  <si>
    <t>REP9818990</t>
  </si>
  <si>
    <t>06/29/2023</t>
  </si>
  <si>
    <t>REP1291577</t>
  </si>
  <si>
    <t>23.12.2022</t>
  </si>
  <si>
    <t>REP1482504</t>
  </si>
  <si>
    <t>2024-04-14</t>
  </si>
  <si>
    <t>REP2874387</t>
  </si>
  <si>
    <t>20.01.2022</t>
  </si>
  <si>
    <t>REP1726143</t>
  </si>
  <si>
    <t>05.11.2022</t>
  </si>
  <si>
    <t>REP2523024</t>
  </si>
  <si>
    <t>2024-05-16</t>
  </si>
  <si>
    <t>REP9470971</t>
  </si>
  <si>
    <t>2022-03-11</t>
  </si>
  <si>
    <t>REP1072627</t>
  </si>
  <si>
    <t>13.01.2024</t>
  </si>
  <si>
    <t>REP6952931</t>
  </si>
  <si>
    <t>24-Jan-2023</t>
  </si>
  <si>
    <t>REP7060776</t>
  </si>
  <si>
    <t>10/23/2022</t>
  </si>
  <si>
    <t>REP8448343</t>
  </si>
  <si>
    <t>07/22/2023</t>
  </si>
  <si>
    <t>REP9248490</t>
  </si>
  <si>
    <t>2022-04-18</t>
  </si>
  <si>
    <t>REP3830705</t>
  </si>
  <si>
    <t>2023-01-08</t>
  </si>
  <si>
    <t>REP5579723</t>
  </si>
  <si>
    <t>03/19/2024</t>
  </si>
  <si>
    <t>REP3050009</t>
  </si>
  <si>
    <t>17/05/2023</t>
  </si>
  <si>
    <t>REP4004727</t>
  </si>
  <si>
    <t>12/09/2023</t>
  </si>
  <si>
    <t>REP8818548</t>
  </si>
  <si>
    <t>28.10.2022</t>
  </si>
  <si>
    <t>REP8221021</t>
  </si>
  <si>
    <t>07/25/2024</t>
  </si>
  <si>
    <t>REP6084244</t>
  </si>
  <si>
    <t>25/12/2023</t>
  </si>
  <si>
    <t>REP8882244</t>
  </si>
  <si>
    <t>30.07.2023</t>
  </si>
  <si>
    <t>REP5772070</t>
  </si>
  <si>
    <t>04.03.2022</t>
  </si>
  <si>
    <t>REP2633262</t>
  </si>
  <si>
    <t>20-Dec-2022</t>
  </si>
  <si>
    <t>REP6115582</t>
  </si>
  <si>
    <t>REP8880256</t>
  </si>
  <si>
    <t>23/01/2022</t>
  </si>
  <si>
    <t>REP6636598</t>
  </si>
  <si>
    <t>30-May-2023</t>
  </si>
  <si>
    <t>REP2263679</t>
  </si>
  <si>
    <t>05/20/2024</t>
  </si>
  <si>
    <t>REP2589366</t>
  </si>
  <si>
    <t>2022-12-11</t>
  </si>
  <si>
    <t>REP9466446</t>
  </si>
  <si>
    <t>REP4029979</t>
  </si>
  <si>
    <t>2022-01-20</t>
  </si>
  <si>
    <t>REP5495219</t>
  </si>
  <si>
    <t>16/10/2023</t>
  </si>
  <si>
    <t>REP3524512</t>
  </si>
  <si>
    <t>2023-12-03</t>
  </si>
  <si>
    <t>REP3694157</t>
  </si>
  <si>
    <t>05-Dec-2023</t>
  </si>
  <si>
    <t>REP1620819</t>
  </si>
  <si>
    <t>13.06.2022</t>
  </si>
  <si>
    <t>REP9151075</t>
  </si>
  <si>
    <t>REP2515088</t>
  </si>
  <si>
    <t>23.08.2024</t>
  </si>
  <si>
    <t>REP9812402</t>
  </si>
  <si>
    <t>24.05.2023</t>
  </si>
  <si>
    <t>REP8094564</t>
  </si>
  <si>
    <t>28-May-2022</t>
  </si>
  <si>
    <t>REP2895176</t>
  </si>
  <si>
    <t>2023-07-13</t>
  </si>
  <si>
    <t>REP1353566</t>
  </si>
  <si>
    <t>2024-09-17</t>
  </si>
  <si>
    <t>REP7087698</t>
  </si>
  <si>
    <t>11/04/2024</t>
  </si>
  <si>
    <t>REP5287143</t>
  </si>
  <si>
    <t>03-Apr-2022</t>
  </si>
  <si>
    <t>REP1568440</t>
  </si>
  <si>
    <t>06-Jun-2024</t>
  </si>
  <si>
    <t>REP3690114</t>
  </si>
  <si>
    <t>25-Sep-2022</t>
  </si>
  <si>
    <t>REP4082639</t>
  </si>
  <si>
    <t>31.03.2023</t>
  </si>
  <si>
    <t>REP3182597</t>
  </si>
  <si>
    <t>01.09.2023</t>
  </si>
  <si>
    <t>REP7954096</t>
  </si>
  <si>
    <t>06/07/2022</t>
  </si>
  <si>
    <t>REP4837070</t>
  </si>
  <si>
    <t>04/02/2022</t>
  </si>
  <si>
    <t>REP3854188</t>
  </si>
  <si>
    <t>08/04/2023</t>
  </si>
  <si>
    <t>REP5466142</t>
  </si>
  <si>
    <t>04-Feb-2024</t>
  </si>
  <si>
    <t>REP3448514</t>
  </si>
  <si>
    <t>10/25/2022</t>
  </si>
  <si>
    <t>REP7669861</t>
  </si>
  <si>
    <t>06/08/2022</t>
  </si>
  <si>
    <t>REP4939985</t>
  </si>
  <si>
    <t>19/07/2024</t>
  </si>
  <si>
    <t>REP7621913</t>
  </si>
  <si>
    <t>REP6323702</t>
  </si>
  <si>
    <t>06/28/2023</t>
  </si>
  <si>
    <t>REP8215646</t>
  </si>
  <si>
    <t>13-Jul-2024</t>
  </si>
  <si>
    <t>REP9242223</t>
  </si>
  <si>
    <t>2024-08-30</t>
  </si>
  <si>
    <t>REP5365833</t>
  </si>
  <si>
    <t>12/24/2023</t>
  </si>
  <si>
    <t>REP9270975</t>
  </si>
  <si>
    <t>16-May-2024</t>
  </si>
  <si>
    <t>REP5576682</t>
  </si>
  <si>
    <t>01.07.2024</t>
  </si>
  <si>
    <t>REP9356912</t>
  </si>
  <si>
    <t>07-Apr-2022</t>
  </si>
  <si>
    <t>REP3579924</t>
  </si>
  <si>
    <t>25-Mar-2022</t>
  </si>
  <si>
    <t>REP8601790</t>
  </si>
  <si>
    <t>28-Aug-2024</t>
  </si>
  <si>
    <t>REP7398678</t>
  </si>
  <si>
    <t>13/02/2023</t>
  </si>
  <si>
    <t>REP5780430</t>
  </si>
  <si>
    <t>02/10/2024</t>
  </si>
  <si>
    <t>REP3202624</t>
  </si>
  <si>
    <t>11/13/2023</t>
  </si>
  <si>
    <t>REP8088983</t>
  </si>
  <si>
    <t>13.01.2023</t>
  </si>
  <si>
    <t>REP3601637</t>
  </si>
  <si>
    <t>05/23/2023</t>
  </si>
  <si>
    <t>REP3143956</t>
  </si>
  <si>
    <t>13/07/2024</t>
  </si>
  <si>
    <t>REP9567311</t>
  </si>
  <si>
    <t>27-Feb-2023</t>
  </si>
  <si>
    <t>REP8765820</t>
  </si>
  <si>
    <t>16-Mar-2024</t>
  </si>
  <si>
    <t>REP8548873</t>
  </si>
  <si>
    <t>07.04.2024</t>
  </si>
  <si>
    <t>REP1300567</t>
  </si>
  <si>
    <t>REP9165848</t>
  </si>
  <si>
    <t>26-Sep-2023</t>
  </si>
  <si>
    <t>REP1266510</t>
  </si>
  <si>
    <t>20.09.2024</t>
  </si>
  <si>
    <t>REP8952217</t>
  </si>
  <si>
    <t>01/23/2022</t>
  </si>
  <si>
    <t>REP5946450</t>
  </si>
  <si>
    <t>04/29/2024</t>
  </si>
  <si>
    <t>REP5878387</t>
  </si>
  <si>
    <t>05/15/2023</t>
  </si>
  <si>
    <t>REP6299086</t>
  </si>
  <si>
    <t>03/07/2022</t>
  </si>
  <si>
    <t>REP8318725</t>
  </si>
  <si>
    <t>15.06.2022</t>
  </si>
  <si>
    <t>REP8859576</t>
  </si>
  <si>
    <t>23-Jun-2024</t>
  </si>
  <si>
    <t>REP4476383</t>
  </si>
  <si>
    <t>REP6094433</t>
  </si>
  <si>
    <t>2022-08-03</t>
  </si>
  <si>
    <t>REP2068131</t>
  </si>
  <si>
    <t>17-Mar-2023</t>
  </si>
  <si>
    <t>REP3536352</t>
  </si>
  <si>
    <t>12/08/2023</t>
  </si>
  <si>
    <t>REP2709062</t>
  </si>
  <si>
    <t>2023-07-30</t>
  </si>
  <si>
    <t>REP8407441</t>
  </si>
  <si>
    <t>2023-06-03</t>
  </si>
  <si>
    <t>REP1110521</t>
  </si>
  <si>
    <t>05/04/2024</t>
  </si>
  <si>
    <t>REP9886057</t>
  </si>
  <si>
    <t>17.03.2024</t>
  </si>
  <si>
    <t>REP3442499</t>
  </si>
  <si>
    <t>11-Jan-2022</t>
  </si>
  <si>
    <t>REP7597913</t>
  </si>
  <si>
    <t>07.02.2022</t>
  </si>
  <si>
    <t>REP6105693</t>
  </si>
  <si>
    <t>31.01.2024</t>
  </si>
  <si>
    <t>REP4441570</t>
  </si>
  <si>
    <t>REP6611860</t>
  </si>
  <si>
    <t>2024-01-13</t>
  </si>
  <si>
    <t>REP3684813</t>
  </si>
  <si>
    <t>01/29/2022</t>
  </si>
  <si>
    <t>REP7257547</t>
  </si>
  <si>
    <t>05-Oct-2023</t>
  </si>
  <si>
    <t>REP4961055</t>
  </si>
  <si>
    <t>03.02.2024</t>
  </si>
  <si>
    <t>REP3348331</t>
  </si>
  <si>
    <t>2023-01-22</t>
  </si>
  <si>
    <t>REP8141928</t>
  </si>
  <si>
    <t>26/02/2023</t>
  </si>
  <si>
    <t>REP9706452</t>
  </si>
  <si>
    <t>REP9485679</t>
  </si>
  <si>
    <t>12.05.2023</t>
  </si>
  <si>
    <t>REP3631333</t>
  </si>
  <si>
    <t>27/07/2023</t>
  </si>
  <si>
    <t>REP2975386</t>
  </si>
  <si>
    <t>2022-11-09</t>
  </si>
  <si>
    <t>REP6119801</t>
  </si>
  <si>
    <t>18/10/2022</t>
  </si>
  <si>
    <t>REP8589583</t>
  </si>
  <si>
    <t>2022-12-12</t>
  </si>
  <si>
    <t>REP8534223</t>
  </si>
  <si>
    <t>06/06/2024</t>
  </si>
  <si>
    <t>REP8433920</t>
  </si>
  <si>
    <t>12-Oct-2022</t>
  </si>
  <si>
    <t>REP4228384</t>
  </si>
  <si>
    <t>09/26/2023</t>
  </si>
  <si>
    <t>REP9923120</t>
  </si>
  <si>
    <t>12/09/2024</t>
  </si>
  <si>
    <t>REP1754700</t>
  </si>
  <si>
    <t>01.06.2024</t>
  </si>
  <si>
    <t>REP2666541</t>
  </si>
  <si>
    <t>22-Jun-2022</t>
  </si>
  <si>
    <t>REP6457472</t>
  </si>
  <si>
    <t>01/28/2022</t>
  </si>
  <si>
    <t>REP3029477</t>
  </si>
  <si>
    <t>27.07.2022</t>
  </si>
  <si>
    <t>REP8798444</t>
  </si>
  <si>
    <t>21-Feb-2023</t>
  </si>
  <si>
    <t>REP3106737</t>
  </si>
  <si>
    <t>2023-08-05</t>
  </si>
  <si>
    <t>REP8109386</t>
  </si>
  <si>
    <t>22.07.2024</t>
  </si>
  <si>
    <t>REP9089743</t>
  </si>
  <si>
    <t>2023-09-05</t>
  </si>
  <si>
    <t>REP9960531</t>
  </si>
  <si>
    <t>03/13/2022</t>
  </si>
  <si>
    <t>REP6748465</t>
  </si>
  <si>
    <t>REP3243545</t>
  </si>
  <si>
    <t>2024-08-02</t>
  </si>
  <si>
    <t>REP7589940</t>
  </si>
  <si>
    <t>03/25/2022</t>
  </si>
  <si>
    <t>REP7005668</t>
  </si>
  <si>
    <t>01-Jul-2022</t>
  </si>
  <si>
    <t>REP1331881</t>
  </si>
  <si>
    <t>15.10.2022</t>
  </si>
  <si>
    <t>REP9284734</t>
  </si>
  <si>
    <t>07/01/2023</t>
  </si>
  <si>
    <t>REP5653119</t>
  </si>
  <si>
    <t>REP2091346</t>
  </si>
  <si>
    <t>23/09/2022</t>
  </si>
  <si>
    <t>REP5243311</t>
  </si>
  <si>
    <t>28-Jul-2023</t>
  </si>
  <si>
    <t>REP9695551</t>
  </si>
  <si>
    <t>23.05.2023</t>
  </si>
  <si>
    <t>REP2372525</t>
  </si>
  <si>
    <t>2023-08-09</t>
  </si>
  <si>
    <t>REP2622794</t>
  </si>
  <si>
    <t>07-May-2023</t>
  </si>
  <si>
    <t>REP1913231</t>
  </si>
  <si>
    <t>12/08/2022</t>
  </si>
  <si>
    <t>REP2435034</t>
  </si>
  <si>
    <t>2022-03-04</t>
  </si>
  <si>
    <t>REP8245056</t>
  </si>
  <si>
    <t>15/04/2022</t>
  </si>
  <si>
    <t>REP1177948</t>
  </si>
  <si>
    <t>29-Jan-2023</t>
  </si>
  <si>
    <t>REP9677392</t>
  </si>
  <si>
    <t>2023-08-25</t>
  </si>
  <si>
    <t>REP6962475</t>
  </si>
  <si>
    <t>2023-05-08</t>
  </si>
  <si>
    <t>REP7001942</t>
  </si>
  <si>
    <t>21-Aug-2023</t>
  </si>
  <si>
    <t>REP3425991</t>
  </si>
  <si>
    <t>2022-09-01</t>
  </si>
  <si>
    <t>REP2147624</t>
  </si>
  <si>
    <t>REP6026983</t>
  </si>
  <si>
    <t>2022-12-03</t>
  </si>
  <si>
    <t>REP8827187</t>
  </si>
  <si>
    <t>08/07/2022</t>
  </si>
  <si>
    <t>REP2237003</t>
  </si>
  <si>
    <t>31-Jan-2022</t>
  </si>
  <si>
    <t>REP3921695</t>
  </si>
  <si>
    <t>2024-06-25</t>
  </si>
  <si>
    <t>REP2697690</t>
  </si>
  <si>
    <t>2024-05-01</t>
  </si>
  <si>
    <t>REP3874940</t>
  </si>
  <si>
    <t>2023-06-24</t>
  </si>
  <si>
    <t>REP9934785</t>
  </si>
  <si>
    <t>13.12.2023</t>
  </si>
  <si>
    <t>REP3492539</t>
  </si>
  <si>
    <t>09/11/2022</t>
  </si>
  <si>
    <t>REP2088389</t>
  </si>
  <si>
    <t>05.06.2023</t>
  </si>
  <si>
    <t>REP9108379</t>
  </si>
  <si>
    <t>05/09/2024</t>
  </si>
  <si>
    <t>REP4932320</t>
  </si>
  <si>
    <t>12.08.2022</t>
  </si>
  <si>
    <t>REP9704367</t>
  </si>
  <si>
    <t>08/24/2022</t>
  </si>
  <si>
    <t>REP6318720</t>
  </si>
  <si>
    <t>27/01/2023</t>
  </si>
  <si>
    <t>REP2311290</t>
  </si>
  <si>
    <t>11.10.2022</t>
  </si>
  <si>
    <t>REP6078724</t>
  </si>
  <si>
    <t>15.04.2024</t>
  </si>
  <si>
    <t>REP6815525</t>
  </si>
  <si>
    <t>18.02.2023</t>
  </si>
  <si>
    <t>REP4818133</t>
  </si>
  <si>
    <t>11.01.2024</t>
  </si>
  <si>
    <t>REP2440757</t>
  </si>
  <si>
    <t>16.05.2024</t>
  </si>
  <si>
    <t>REP6126646</t>
  </si>
  <si>
    <t>01/26/2024</t>
  </si>
  <si>
    <t>REP6027078</t>
  </si>
  <si>
    <t>25.08.2023</t>
  </si>
  <si>
    <t>REP7557976</t>
  </si>
  <si>
    <t>01/26/2023</t>
  </si>
  <si>
    <t>REP6111102</t>
  </si>
  <si>
    <t>25/06/2022</t>
  </si>
  <si>
    <t>REP5761669</t>
  </si>
  <si>
    <t>27.08.2022</t>
  </si>
  <si>
    <t>REP7561657</t>
  </si>
  <si>
    <t>2022-04-24</t>
  </si>
  <si>
    <t>REP8965487</t>
  </si>
  <si>
    <t>09/11/2023</t>
  </si>
  <si>
    <t>REP2073239</t>
  </si>
  <si>
    <t>02/13/2023</t>
  </si>
  <si>
    <t>REP8655554</t>
  </si>
  <si>
    <t>19.12.2023</t>
  </si>
  <si>
    <t>REP4077684</t>
  </si>
  <si>
    <t>06-Aug-2023</t>
  </si>
  <si>
    <t>REP2119776</t>
  </si>
  <si>
    <t>14.01.2024</t>
  </si>
  <si>
    <t>REP9462341</t>
  </si>
  <si>
    <t>09/03/2024</t>
  </si>
  <si>
    <t>REP7394729</t>
  </si>
  <si>
    <t>03/02/2024</t>
  </si>
  <si>
    <t>REP8788747</t>
  </si>
  <si>
    <t>REP1303099</t>
  </si>
  <si>
    <t>13/04/2022</t>
  </si>
  <si>
    <t>REP8393014</t>
  </si>
  <si>
    <t>07/02/2022</t>
  </si>
  <si>
    <t>REP2724585</t>
  </si>
  <si>
    <t>REP5002042</t>
  </si>
  <si>
    <t>2022-04-04</t>
  </si>
  <si>
    <t>REP2620732</t>
  </si>
  <si>
    <t>05.05.2024</t>
  </si>
  <si>
    <t>REP4180079</t>
  </si>
  <si>
    <t>2022-08-01</t>
  </si>
  <si>
    <t>REP6305630</t>
  </si>
  <si>
    <t>03.02.2023</t>
  </si>
  <si>
    <t>REP6058905</t>
  </si>
  <si>
    <t>06-Sep-2023</t>
  </si>
  <si>
    <t>REP7519046</t>
  </si>
  <si>
    <t>04-Aug-2024</t>
  </si>
  <si>
    <t>REP1296097</t>
  </si>
  <si>
    <t>22/07/2024</t>
  </si>
  <si>
    <t>REP6181620</t>
  </si>
  <si>
    <t>26-Jan-2024</t>
  </si>
  <si>
    <t>REP1635969</t>
  </si>
  <si>
    <t>03-Aug-2024</t>
  </si>
  <si>
    <t>REP7960756</t>
  </si>
  <si>
    <t>2024-04-12</t>
  </si>
  <si>
    <t>REP5166421</t>
  </si>
  <si>
    <t>REP9248388</t>
  </si>
  <si>
    <t>03.09.2024</t>
  </si>
  <si>
    <t>REP9513171</t>
  </si>
  <si>
    <t>13.03.2023</t>
  </si>
  <si>
    <t>REP4378948</t>
  </si>
  <si>
    <t>06/02/2024</t>
  </si>
  <si>
    <t>REP8271756</t>
  </si>
  <si>
    <t>09/06/2022</t>
  </si>
  <si>
    <t>REP3563536</t>
  </si>
  <si>
    <t>01/15/2024</t>
  </si>
  <si>
    <t>REP8872850</t>
  </si>
  <si>
    <t>08-Jun-2022</t>
  </si>
  <si>
    <t>REP7260332</t>
  </si>
  <si>
    <t>05/17/2023</t>
  </si>
  <si>
    <t>REP5282525</t>
  </si>
  <si>
    <t>24-Jul-2024</t>
  </si>
  <si>
    <t>REP5140479</t>
  </si>
  <si>
    <t>2023-05-05</t>
  </si>
  <si>
    <t>REP5266245</t>
  </si>
  <si>
    <t>09/09/2023</t>
  </si>
  <si>
    <t>REP2348021</t>
  </si>
  <si>
    <t>20-Jul-2024</t>
  </si>
  <si>
    <t>REP6167027</t>
  </si>
  <si>
    <t>26.02.2023</t>
  </si>
  <si>
    <t>REP4515255</t>
  </si>
  <si>
    <t>REP5837546</t>
  </si>
  <si>
    <t>18.03.2023</t>
  </si>
  <si>
    <t>REP4114489</t>
  </si>
  <si>
    <t>02.03.2022</t>
  </si>
  <si>
    <t>REP2437925</t>
  </si>
  <si>
    <t>08/05/2022</t>
  </si>
  <si>
    <t>PARTIAL</t>
  </si>
  <si>
    <t>REP1702283</t>
  </si>
  <si>
    <t>05-Aug-2022</t>
  </si>
  <si>
    <t>REP8205036</t>
  </si>
  <si>
    <t>REP6540763</t>
  </si>
  <si>
    <t>13.04.2022</t>
  </si>
  <si>
    <t>REP7181227</t>
  </si>
  <si>
    <t>REP6461406</t>
  </si>
  <si>
    <t>31/03/2023</t>
  </si>
  <si>
    <t>REP8988000</t>
  </si>
  <si>
    <t>2023-11-06</t>
  </si>
  <si>
    <t>REP9466397</t>
  </si>
  <si>
    <t>05/11/2022</t>
  </si>
  <si>
    <t>REP5041658</t>
  </si>
  <si>
    <t>05/08/2022</t>
  </si>
  <si>
    <t>REP5703624</t>
  </si>
  <si>
    <t>2024-01-07</t>
  </si>
  <si>
    <t>REP6583476</t>
  </si>
  <si>
    <t>08/18/2022</t>
  </si>
  <si>
    <t>REP8331010</t>
  </si>
  <si>
    <t>27-Aug-2022</t>
  </si>
  <si>
    <t>REP2947939</t>
  </si>
  <si>
    <t>12/01/2023</t>
  </si>
  <si>
    <t>REP7512001</t>
  </si>
  <si>
    <t>10.03.2023</t>
  </si>
  <si>
    <t>REP8727632</t>
  </si>
  <si>
    <t>05/29/2022</t>
  </si>
  <si>
    <t>REP1576194</t>
  </si>
  <si>
    <t>2022-11-24</t>
  </si>
  <si>
    <t>REP6589238</t>
  </si>
  <si>
    <t>2024-04-27</t>
  </si>
  <si>
    <t>REP3670819</t>
  </si>
  <si>
    <t>REP4273103</t>
  </si>
  <si>
    <t>26/05/2024</t>
  </si>
  <si>
    <t>REP3746337</t>
  </si>
  <si>
    <t>2022-05-21</t>
  </si>
  <si>
    <t>REP2710400</t>
  </si>
  <si>
    <t>2024-03-15</t>
  </si>
  <si>
    <t>REP4013739</t>
  </si>
  <si>
    <t>2022-02-23</t>
  </si>
  <si>
    <t>REP5040883</t>
  </si>
  <si>
    <t>16/05/2023</t>
  </si>
  <si>
    <t>REP5617358</t>
  </si>
  <si>
    <t>10/31/2023</t>
  </si>
  <si>
    <t>REP9044647</t>
  </si>
  <si>
    <t>12/12/2023</t>
  </si>
  <si>
    <t>REP4101936</t>
  </si>
  <si>
    <t>12.04.2024</t>
  </si>
  <si>
    <t>REP3081873</t>
  </si>
  <si>
    <t>2024-02-11</t>
  </si>
  <si>
    <t>REP1656713</t>
  </si>
  <si>
    <t>REP3879023</t>
  </si>
  <si>
    <t>27-Sep-2024</t>
  </si>
  <si>
    <t>REP6250195</t>
  </si>
  <si>
    <t>21/07/2024</t>
  </si>
  <si>
    <t>REP3376783</t>
  </si>
  <si>
    <t>2024-05-26</t>
  </si>
  <si>
    <t>REP5373391</t>
  </si>
  <si>
    <t>10/28/2023</t>
  </si>
  <si>
    <t>REP5519776</t>
  </si>
  <si>
    <t>2023-12-15</t>
  </si>
  <si>
    <t>REP8275056</t>
  </si>
  <si>
    <t>27/01/2022</t>
  </si>
  <si>
    <t>REP2492738</t>
  </si>
  <si>
    <t>07/20/2024</t>
  </si>
  <si>
    <t>REP3072044</t>
  </si>
  <si>
    <t>24.06.2023</t>
  </si>
  <si>
    <t>REP5547530</t>
  </si>
  <si>
    <t>12-Apr-2022</t>
  </si>
  <si>
    <t>REP7755367</t>
  </si>
  <si>
    <t>08/30/2023</t>
  </si>
  <si>
    <t>REP7210098</t>
  </si>
  <si>
    <t>03/07/2024</t>
  </si>
  <si>
    <t>REP5627541</t>
  </si>
  <si>
    <t>15/03/2023</t>
  </si>
  <si>
    <t>REP2512308</t>
  </si>
  <si>
    <t>23-Mar-2022</t>
  </si>
  <si>
    <t>REP8113264</t>
  </si>
  <si>
    <t>REP1122310</t>
  </si>
  <si>
    <t>12.03.2023</t>
  </si>
  <si>
    <t>REP9783147</t>
  </si>
  <si>
    <t>19/08/2022</t>
  </si>
  <si>
    <t>REP2899743</t>
  </si>
  <si>
    <t>REP7603872</t>
  </si>
  <si>
    <t>03.08.2024</t>
  </si>
  <si>
    <t>REP8723456</t>
  </si>
  <si>
    <t>02/11/2022</t>
  </si>
  <si>
    <t>REP3578837</t>
  </si>
  <si>
    <t>05/07/2022</t>
  </si>
  <si>
    <t>REP4056507</t>
  </si>
  <si>
    <t>2024-04-11</t>
  </si>
  <si>
    <t>REP4329683</t>
  </si>
  <si>
    <t>2022-07-14</t>
  </si>
  <si>
    <t>REP5459377</t>
  </si>
  <si>
    <t>03/08/2023</t>
  </si>
  <si>
    <t>REP7523795</t>
  </si>
  <si>
    <t>23/04/2022</t>
  </si>
  <si>
    <t>REP6740173</t>
  </si>
  <si>
    <t>09/26/2024</t>
  </si>
  <si>
    <t>REP9577181</t>
  </si>
  <si>
    <t>2022-09-13</t>
  </si>
  <si>
    <t>REP9427765</t>
  </si>
  <si>
    <t>07/05/2022</t>
  </si>
  <si>
    <t>REP8152177</t>
  </si>
  <si>
    <t>2023-09-24</t>
  </si>
  <si>
    <t>REP8165093</t>
  </si>
  <si>
    <t>REP1008991</t>
  </si>
  <si>
    <t>08/11/2023</t>
  </si>
  <si>
    <t>REP6608323</t>
  </si>
  <si>
    <t>25-Apr-2022</t>
  </si>
  <si>
    <t>REP4997208</t>
  </si>
  <si>
    <t>10.10.2022</t>
  </si>
  <si>
    <t>REP4194945</t>
  </si>
  <si>
    <t>23-Dec-2023</t>
  </si>
  <si>
    <t>REP9951610</t>
  </si>
  <si>
    <t>07.06.2022</t>
  </si>
  <si>
    <t>REP2970130</t>
  </si>
  <si>
    <t>23/03/2023</t>
  </si>
  <si>
    <t>REP5859627</t>
  </si>
  <si>
    <t>05.09.2024</t>
  </si>
  <si>
    <t>REP9544273</t>
  </si>
  <si>
    <t>REP9603283</t>
  </si>
  <si>
    <t>31.05.2023</t>
  </si>
  <si>
    <t>REP5896318</t>
  </si>
  <si>
    <t>17/10/2023</t>
  </si>
  <si>
    <t>REP9969014</t>
  </si>
  <si>
    <t>REP3241630</t>
  </si>
  <si>
    <t>08-Jul-2024</t>
  </si>
  <si>
    <t>REP1262370</t>
  </si>
  <si>
    <t>05-Nov-2023</t>
  </si>
  <si>
    <t>REP8418631</t>
  </si>
  <si>
    <t>11/29/2022</t>
  </si>
  <si>
    <t>REP9036402</t>
  </si>
  <si>
    <t>2023-05-23</t>
  </si>
  <si>
    <t>REP3981886</t>
  </si>
  <si>
    <t>2023-02-08</t>
  </si>
  <si>
    <t>REP9837877</t>
  </si>
  <si>
    <t>15/01/2024</t>
  </si>
  <si>
    <t>REP1733836</t>
  </si>
  <si>
    <t>REP6677240</t>
  </si>
  <si>
    <t>2023-12-26</t>
  </si>
  <si>
    <t>REP5487177</t>
  </si>
  <si>
    <t>11.07.2023</t>
  </si>
  <si>
    <t>REP4763343</t>
  </si>
  <si>
    <t>08/21/2022</t>
  </si>
  <si>
    <t>REP9251380</t>
  </si>
  <si>
    <t>REP1727239</t>
  </si>
  <si>
    <t>04-Jun-2022</t>
  </si>
  <si>
    <t>REP5548190</t>
  </si>
  <si>
    <t>27/05/2023</t>
  </si>
  <si>
    <t>REP3459356</t>
  </si>
  <si>
    <t>01/06/2022</t>
  </si>
  <si>
    <t>REP3427123</t>
  </si>
  <si>
    <t>11/27/2022</t>
  </si>
  <si>
    <t>REP6594616</t>
  </si>
  <si>
    <t>01.04.2024</t>
  </si>
  <si>
    <t>REP7452974</t>
  </si>
  <si>
    <t>18-Aug-2023</t>
  </si>
  <si>
    <t>REP8951164</t>
  </si>
  <si>
    <t>2022-05-17</t>
  </si>
  <si>
    <t>REP8064499</t>
  </si>
  <si>
    <t>2022-08-04</t>
  </si>
  <si>
    <t>REP7235826</t>
  </si>
  <si>
    <t>2023-12-20</t>
  </si>
  <si>
    <t>REP2292941</t>
  </si>
  <si>
    <t>06.08.2023</t>
  </si>
  <si>
    <t>REP6659575</t>
  </si>
  <si>
    <t>REP7650332</t>
  </si>
  <si>
    <t>REP5560510</t>
  </si>
  <si>
    <t>05/04/2022</t>
  </si>
  <si>
    <t>REP2295356</t>
  </si>
  <si>
    <t>12/11/2023</t>
  </si>
  <si>
    <t>REP4267037</t>
  </si>
  <si>
    <t>2022-04-22</t>
  </si>
  <si>
    <t>REP1184163</t>
  </si>
  <si>
    <t>REP9116934</t>
  </si>
  <si>
    <t>19-Feb-2022</t>
  </si>
  <si>
    <t>EXCEL FORMULA TASKS — Work in this sheet</t>
  </si>
  <si>
    <t>TASK 1 — LOOKUP FUNCTIONS</t>
  </si>
  <si>
    <t>Enter a Loan_ID below and retrieve Customer_ID, Branch, and Status using XLOOKUP / INDEX-MATCH</t>
  </si>
  <si>
    <t>Loan_ID to look up:</t>
  </si>
  <si>
    <t>Customer_ID (XLOOKUP):</t>
  </si>
  <si>
    <t>Branch Code (INDEX/MATCH):</t>
  </si>
  <si>
    <t>Loan Status (XLOOKUP):</t>
  </si>
  <si>
    <t>TASK 2 — CONDITIONAL AGGREGATION</t>
  </si>
  <si>
    <t>Use SUMIFS, COUNTIFS, AVERAGEIFS on the Loan_Applications sheet</t>
  </si>
  <si>
    <t>Total Outstanding for NPL Loans (UGX):</t>
  </si>
  <si>
    <t>Count of Active Loans in Kampala Main Branch:</t>
  </si>
  <si>
    <t>Average Principal for Agriculture Sector:</t>
  </si>
  <si>
    <t>TASK 3 — NESTED IF / IFS</t>
  </si>
  <si>
    <t>Classify a loan by size. Enter an amount in C17 and get its category in D17.</t>
  </si>
  <si>
    <t>TASK 4 — TEXT FUNCTIONS</t>
  </si>
  <si>
    <t>Extract Branch Region from branch name using LEFT, MID, FIND, TRIM, UPPER, PROPER</t>
  </si>
  <si>
    <t>TASK 5 — ERROR HANDLING</t>
  </si>
  <si>
    <t>Wrap your XLOOKUP/INDEX-MATCH formulas in IFERROR to return 'Not Found' for bad IDs</t>
  </si>
  <si>
    <t>TASK 6 — DATE FUNCTIONS</t>
  </si>
  <si>
    <t>Using DATEDIF, EDATE, TODAY(), calculate loan age (months) and days to maturity</t>
  </si>
  <si>
    <t>KAMPALA MAIN BANK (KMB)</t>
  </si>
  <si>
    <t>This workbook contains raw, semi-structured loan portfolio data for Kampala Main Bank (KMB)</t>
  </si>
  <si>
    <t>Risk Category</t>
  </si>
  <si>
    <t>BRANCH_REGION</t>
  </si>
  <si>
    <t>COMBINED NAMES</t>
  </si>
  <si>
    <t>Loan_AgeMonths</t>
  </si>
  <si>
    <t>Days to Maturity</t>
  </si>
  <si>
    <t>Projected closure date</t>
  </si>
  <si>
    <t>UNIQUE SECTOR</t>
  </si>
  <si>
    <t>COUNT IF UNIQUE_SECTOR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</si>
</sst>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6" x14ac:knownFonts="1">
    <font>
      <sz val="11"/>
      <color theme="1"/>
      <name val="Calibri"/>
      <family val="2"/>
      <scheme val="minor"/>
    </font>
    <font>
      <b/>
      <sz val="16"/>
      <color rgb="FF1F3864"/>
      <name val="Arial"/>
    </font>
    <font>
      <sz val="12"/>
      <color rgb="FF2C2C2C"/>
      <name val="Arial"/>
    </font>
    <font>
      <sz val="11"/>
      <color rgb="FF2C2C2C"/>
      <name val="Arial"/>
    </font>
    <font>
      <b/>
      <sz val="12"/>
      <color rgb="FF1F3864"/>
      <name val="Arial"/>
    </font>
    <font>
      <b/>
      <sz val="11"/>
      <color rgb="FFFFFFFF"/>
      <name val="Arial"/>
    </font>
    <font>
      <b/>
      <sz val="14"/>
      <color rgb="FFFFFFFF"/>
      <name val="Arial"/>
    </font>
    <font>
      <b/>
      <sz val="11"/>
      <color rgb="FFFFFFFF"/>
      <name val="Arial"/>
    </font>
    <font>
      <i/>
      <sz val="11"/>
      <color rgb="FF555555"/>
      <name val="Arial"/>
    </font>
    <font>
      <b/>
      <sz val="11"/>
      <color rgb="FF0000FF"/>
      <name val="Arial"/>
    </font>
    <font>
      <b/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i/>
      <sz val="11"/>
      <color rgb="FF555555"/>
      <name val="Arial"/>
      <family val="2"/>
    </font>
    <font>
      <b/>
      <sz val="9"/>
      <color rgb="FFFFFFFF"/>
      <name val="Arial"/>
      <family val="2"/>
    </font>
    <font>
      <b/>
      <sz val="11"/>
      <color rgb="FF0000FF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2E86AB"/>
        <bgColor rgb="FF2E86AB"/>
      </patternFill>
    </fill>
    <fill>
      <patternFill patternType="solid">
        <fgColor rgb="FF1D6A96"/>
        <bgColor rgb="FF1D6A96"/>
      </patternFill>
    </fill>
    <fill>
      <patternFill patternType="solid">
        <fgColor rgb="FFC0392B"/>
        <bgColor rgb="FFC0392B"/>
      </patternFill>
    </fill>
    <fill>
      <patternFill patternType="solid">
        <fgColor rgb="FFE76F51"/>
        <bgColor rgb="FFE76F51"/>
      </patternFill>
    </fill>
    <fill>
      <patternFill patternType="solid">
        <fgColor rgb="FF6A4C93"/>
        <bgColor rgb="FF6A4C93"/>
      </patternFill>
    </fill>
    <fill>
      <patternFill patternType="solid">
        <fgColor theme="5"/>
        <bgColor rgb="FFC0392B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5" fillId="4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6" fillId="6" borderId="0" xfId="0" applyFont="1" applyFill="1"/>
    <xf numFmtId="0" fontId="7" fillId="6" borderId="0" xfId="0" applyFont="1" applyFill="1"/>
    <xf numFmtId="0" fontId="8" fillId="0" borderId="0" xfId="0" applyFont="1"/>
    <xf numFmtId="0" fontId="9" fillId="0" borderId="0" xfId="0" applyFont="1"/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1" fillId="4" borderId="0" xfId="0" applyFont="1" applyFill="1" applyAlignment="1">
      <alignment horizontal="center" vertical="center" wrapText="1"/>
    </xf>
    <xf numFmtId="0" fontId="10" fillId="0" borderId="0" xfId="0" applyFont="1"/>
    <xf numFmtId="0" fontId="5" fillId="7" borderId="0" xfId="0" applyFont="1" applyFill="1" applyAlignment="1">
      <alignment horizontal="center" vertical="center" wrapText="1"/>
    </xf>
    <xf numFmtId="0" fontId="12" fillId="0" borderId="0" xfId="0" applyFont="1"/>
    <xf numFmtId="0" fontId="13" fillId="2" borderId="0" xfId="0" applyFont="1" applyFill="1" applyAlignment="1">
      <alignment horizontal="center" vertical="center"/>
    </xf>
    <xf numFmtId="164" fontId="5" fillId="4" borderId="0" xfId="0" applyNumberFormat="1" applyFont="1" applyFill="1" applyAlignment="1">
      <alignment horizontal="right" vertical="center" wrapText="1"/>
    </xf>
    <xf numFmtId="164" fontId="0" fillId="0" borderId="0" xfId="0" applyNumberFormat="1" applyAlignment="1">
      <alignment horizontal="right"/>
    </xf>
    <xf numFmtId="14" fontId="5" fillId="4" borderId="0" xfId="0" applyNumberFormat="1" applyFont="1" applyFill="1" applyAlignment="1">
      <alignment horizontal="right" vertical="center" wrapText="1"/>
    </xf>
    <xf numFmtId="14" fontId="0" fillId="0" borderId="0" xfId="0" applyNumberFormat="1" applyAlignment="1">
      <alignment horizontal="right"/>
    </xf>
    <xf numFmtId="0" fontId="11" fillId="3" borderId="0" xfId="0" applyFont="1" applyFill="1" applyAlignment="1">
      <alignment horizontal="left" vertical="center"/>
    </xf>
    <xf numFmtId="2" fontId="11" fillId="4" borderId="0" xfId="0" applyNumberFormat="1" applyFont="1" applyFill="1" applyAlignment="1">
      <alignment horizontal="right" vertical="center" wrapText="1"/>
    </xf>
    <xf numFmtId="2" fontId="0" fillId="0" borderId="0" xfId="0" applyNumberFormat="1" applyAlignment="1">
      <alignment horizontal="right"/>
    </xf>
    <xf numFmtId="14" fontId="0" fillId="0" borderId="0" xfId="0" applyNumberFormat="1"/>
    <xf numFmtId="0" fontId="11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1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3</xdr:row>
          <xdr:rowOff>19050</xdr:rowOff>
        </xdr:from>
        <xdr:to>
          <xdr:col>4</xdr:col>
          <xdr:colOff>533400</xdr:colOff>
          <xdr:row>6</xdr:row>
          <xdr:rowOff>180975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Loan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4</xdr:row>
          <xdr:rowOff>152400</xdr:rowOff>
        </xdr:from>
        <xdr:to>
          <xdr:col>11</xdr:col>
          <xdr:colOff>495300</xdr:colOff>
          <xdr:row>9</xdr:row>
          <xdr:rowOff>133350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Highlights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14</xdr:row>
          <xdr:rowOff>152400</xdr:rowOff>
        </xdr:from>
        <xdr:to>
          <xdr:col>10</xdr:col>
          <xdr:colOff>171450</xdr:colOff>
          <xdr:row>19</xdr:row>
          <xdr:rowOff>171450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466725</xdr:colOff>
          <xdr:row>7</xdr:row>
          <xdr:rowOff>104775</xdr:rowOff>
        </xdr:from>
        <xdr:to>
          <xdr:col>15</xdr:col>
          <xdr:colOff>381000</xdr:colOff>
          <xdr:row>11</xdr:row>
          <xdr:rowOff>161925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NPL to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6B35"/>
  </sheetPr>
  <dimension ref="A1:A23"/>
  <sheetViews>
    <sheetView workbookViewId="0">
      <selection activeCell="A6" sqref="A6"/>
    </sheetView>
  </sheetViews>
  <sheetFormatPr defaultRowHeight="15" x14ac:dyDescent="0.25"/>
  <cols>
    <col min="1" max="1" width="80" customWidth="1"/>
  </cols>
  <sheetData>
    <row r="1" spans="1:1" ht="18" customHeight="1" x14ac:dyDescent="0.3">
      <c r="A1" s="1" t="s">
        <v>1742</v>
      </c>
    </row>
    <row r="2" spans="1:1" ht="18" customHeight="1" x14ac:dyDescent="0.25">
      <c r="A2" s="2" t="s">
        <v>0</v>
      </c>
    </row>
    <row r="3" spans="1:1" ht="8.1" customHeight="1" x14ac:dyDescent="0.25">
      <c r="A3" s="3"/>
    </row>
    <row r="4" spans="1:1" ht="18" customHeight="1" x14ac:dyDescent="0.25">
      <c r="A4" s="4" t="s">
        <v>1</v>
      </c>
    </row>
    <row r="5" spans="1:1" ht="18" customHeight="1" x14ac:dyDescent="0.25">
      <c r="A5" s="3" t="s">
        <v>1743</v>
      </c>
    </row>
    <row r="6" spans="1:1" ht="18" customHeight="1" x14ac:dyDescent="0.25">
      <c r="A6" s="3" t="s">
        <v>2</v>
      </c>
    </row>
    <row r="7" spans="1:1" ht="8.1" customHeight="1" x14ac:dyDescent="0.25">
      <c r="A7" s="3"/>
    </row>
    <row r="8" spans="1:1" ht="18" customHeight="1" x14ac:dyDescent="0.25">
      <c r="A8" s="4" t="s">
        <v>3</v>
      </c>
    </row>
    <row r="9" spans="1:1" ht="18" customHeight="1" x14ac:dyDescent="0.25">
      <c r="A9" s="3" t="s">
        <v>4</v>
      </c>
    </row>
    <row r="10" spans="1:1" ht="18" customHeight="1" x14ac:dyDescent="0.25">
      <c r="A10" s="3" t="s">
        <v>5</v>
      </c>
    </row>
    <row r="11" spans="1:1" ht="18" customHeight="1" x14ac:dyDescent="0.25">
      <c r="A11" s="3" t="s">
        <v>6</v>
      </c>
    </row>
    <row r="12" spans="1:1" ht="18" customHeight="1" x14ac:dyDescent="0.25">
      <c r="A12" s="3" t="s">
        <v>7</v>
      </c>
    </row>
    <row r="13" spans="1:1" ht="8.1" customHeight="1" x14ac:dyDescent="0.25">
      <c r="A13" s="3"/>
    </row>
    <row r="14" spans="1:1" ht="18" customHeight="1" x14ac:dyDescent="0.25">
      <c r="A14" s="4" t="s">
        <v>8</v>
      </c>
    </row>
    <row r="15" spans="1:1" ht="18" customHeight="1" x14ac:dyDescent="0.25">
      <c r="A15" s="3" t="s">
        <v>9</v>
      </c>
    </row>
    <row r="16" spans="1:1" ht="18" customHeight="1" x14ac:dyDescent="0.25">
      <c r="A16" s="3" t="s">
        <v>10</v>
      </c>
    </row>
    <row r="17" spans="1:1" ht="18" customHeight="1" x14ac:dyDescent="0.25">
      <c r="A17" s="3" t="s">
        <v>11</v>
      </c>
    </row>
    <row r="18" spans="1:1" ht="18" customHeight="1" x14ac:dyDescent="0.25">
      <c r="A18" s="3" t="s">
        <v>12</v>
      </c>
    </row>
    <row r="19" spans="1:1" ht="18" customHeight="1" x14ac:dyDescent="0.25">
      <c r="A19" s="3" t="s">
        <v>13</v>
      </c>
    </row>
    <row r="20" spans="1:1" ht="18" customHeight="1" x14ac:dyDescent="0.25">
      <c r="A20" s="3" t="s">
        <v>14</v>
      </c>
    </row>
    <row r="21" spans="1:1" ht="8.1" customHeight="1" x14ac:dyDescent="0.25">
      <c r="A21" s="3"/>
    </row>
    <row r="22" spans="1:1" ht="18" customHeight="1" x14ac:dyDescent="0.25">
      <c r="A22" s="3" t="s">
        <v>15</v>
      </c>
    </row>
    <row r="23" spans="1:1" ht="18" customHeight="1" x14ac:dyDescent="0.25">
      <c r="A23" s="3" t="s">
        <v>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86AB"/>
  </sheetPr>
  <dimension ref="A1:I9"/>
  <sheetViews>
    <sheetView workbookViewId="0">
      <pane ySplit="1" topLeftCell="A2" activePane="bottomLeft" state="frozen"/>
      <selection pane="bottomLeft" activeCell="J10" sqref="J10"/>
    </sheetView>
  </sheetViews>
  <sheetFormatPr defaultRowHeight="15" x14ac:dyDescent="0.25"/>
  <cols>
    <col min="1" max="1" width="13.7109375" bestFit="1" customWidth="1"/>
    <col min="2" max="2" width="15.28515625" bestFit="1" customWidth="1"/>
    <col min="3" max="3" width="9.140625" bestFit="1" customWidth="1"/>
    <col min="4" max="4" width="8.85546875" bestFit="1" customWidth="1"/>
    <col min="5" max="5" width="18.42578125" bestFit="1" customWidth="1"/>
    <col min="6" max="6" width="11" bestFit="1" customWidth="1"/>
    <col min="7" max="7" width="23" bestFit="1" customWidth="1"/>
    <col min="8" max="8" width="15.140625" bestFit="1" customWidth="1"/>
    <col min="9" max="9" width="15.5703125" customWidth="1"/>
  </cols>
  <sheetData>
    <row r="1" spans="1:9" x14ac:dyDescent="0.25">
      <c r="A1" s="11" t="s">
        <v>17</v>
      </c>
      <c r="B1" s="11" t="s">
        <v>18</v>
      </c>
      <c r="C1" s="11" t="s">
        <v>19</v>
      </c>
      <c r="D1" s="11" t="s">
        <v>20</v>
      </c>
      <c r="E1" s="11" t="s">
        <v>21</v>
      </c>
      <c r="F1" s="11" t="s">
        <v>22</v>
      </c>
      <c r="G1" s="11" t="s">
        <v>23</v>
      </c>
      <c r="H1" s="11" t="s">
        <v>24</v>
      </c>
      <c r="I1" s="18" t="s">
        <v>1745</v>
      </c>
    </row>
    <row r="2" spans="1:9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  <c r="I2" t="str">
        <f>UPPER(TRIM(LEFT(PROPER(B2), FIND(" ", PROPER(B2) &amp; " ") - 1)))</f>
        <v>KAMPALA</v>
      </c>
    </row>
    <row r="3" spans="1:9" x14ac:dyDescent="0.25">
      <c r="A3" t="s">
        <v>33</v>
      </c>
      <c r="B3" t="s">
        <v>34</v>
      </c>
      <c r="C3" t="s">
        <v>27</v>
      </c>
      <c r="D3" t="s">
        <v>28</v>
      </c>
      <c r="E3" t="s">
        <v>35</v>
      </c>
      <c r="F3" t="s">
        <v>36</v>
      </c>
      <c r="G3" t="s">
        <v>37</v>
      </c>
      <c r="H3" t="s">
        <v>38</v>
      </c>
      <c r="I3" t="str">
        <f t="shared" ref="I3:I9" si="0">UPPER(TRIM(LEFT(PROPER(B3), FIND(" ", PROPER(B3) &amp; " ") - 1)))</f>
        <v>NAKASERO</v>
      </c>
    </row>
    <row r="4" spans="1:9" x14ac:dyDescent="0.25">
      <c r="A4" t="s">
        <v>39</v>
      </c>
      <c r="B4" t="s">
        <v>40</v>
      </c>
      <c r="C4" t="s">
        <v>41</v>
      </c>
      <c r="D4" t="s">
        <v>40</v>
      </c>
      <c r="E4" t="s">
        <v>42</v>
      </c>
      <c r="F4" t="s">
        <v>43</v>
      </c>
      <c r="G4" t="s">
        <v>44</v>
      </c>
      <c r="H4" t="s">
        <v>45</v>
      </c>
      <c r="I4" t="str">
        <f t="shared" si="0"/>
        <v>MBARARA</v>
      </c>
    </row>
    <row r="5" spans="1:9" x14ac:dyDescent="0.25">
      <c r="A5" t="s">
        <v>46</v>
      </c>
      <c r="B5" t="s">
        <v>47</v>
      </c>
      <c r="C5" t="s">
        <v>48</v>
      </c>
      <c r="D5" t="s">
        <v>47</v>
      </c>
      <c r="E5" t="s">
        <v>49</v>
      </c>
      <c r="F5" t="s">
        <v>50</v>
      </c>
      <c r="G5" t="s">
        <v>51</v>
      </c>
      <c r="H5" t="s">
        <v>52</v>
      </c>
      <c r="I5" t="str">
        <f t="shared" si="0"/>
        <v>GULU</v>
      </c>
    </row>
    <row r="6" spans="1:9" x14ac:dyDescent="0.25">
      <c r="A6" t="s">
        <v>53</v>
      </c>
      <c r="B6" t="s">
        <v>54</v>
      </c>
      <c r="C6" t="s">
        <v>55</v>
      </c>
      <c r="D6" t="s">
        <v>54</v>
      </c>
      <c r="E6" t="s">
        <v>56</v>
      </c>
      <c r="F6" t="s">
        <v>57</v>
      </c>
      <c r="G6" t="s">
        <v>58</v>
      </c>
      <c r="H6" t="s">
        <v>59</v>
      </c>
      <c r="I6" t="str">
        <f t="shared" si="0"/>
        <v>JINJA</v>
      </c>
    </row>
    <row r="7" spans="1:9" x14ac:dyDescent="0.25">
      <c r="A7" t="s">
        <v>60</v>
      </c>
      <c r="B7" t="s">
        <v>61</v>
      </c>
      <c r="C7" t="s">
        <v>27</v>
      </c>
      <c r="D7" t="s">
        <v>62</v>
      </c>
      <c r="E7" t="s">
        <v>63</v>
      </c>
      <c r="F7" t="s">
        <v>64</v>
      </c>
      <c r="G7" t="s">
        <v>65</v>
      </c>
      <c r="H7" t="s">
        <v>66</v>
      </c>
      <c r="I7" t="str">
        <f t="shared" si="0"/>
        <v>ENTEBBE</v>
      </c>
    </row>
    <row r="8" spans="1:9" x14ac:dyDescent="0.25">
      <c r="A8" t="s">
        <v>67</v>
      </c>
      <c r="B8" t="s">
        <v>68</v>
      </c>
      <c r="C8" t="s">
        <v>55</v>
      </c>
      <c r="D8" t="s">
        <v>68</v>
      </c>
      <c r="E8" t="s">
        <v>69</v>
      </c>
      <c r="F8" t="s">
        <v>70</v>
      </c>
      <c r="G8" t="s">
        <v>71</v>
      </c>
      <c r="H8" t="s">
        <v>72</v>
      </c>
      <c r="I8" t="str">
        <f t="shared" si="0"/>
        <v>MBALE</v>
      </c>
    </row>
    <row r="9" spans="1:9" x14ac:dyDescent="0.25">
      <c r="A9" t="s">
        <v>73</v>
      </c>
      <c r="B9" t="s">
        <v>74</v>
      </c>
      <c r="C9" t="s">
        <v>41</v>
      </c>
      <c r="D9" t="s">
        <v>75</v>
      </c>
      <c r="E9" t="s">
        <v>76</v>
      </c>
      <c r="F9" t="s">
        <v>77</v>
      </c>
      <c r="G9" t="s">
        <v>78</v>
      </c>
      <c r="H9" t="s">
        <v>79</v>
      </c>
      <c r="I9" t="str">
        <f t="shared" si="0"/>
        <v>FORT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8DADC"/>
  </sheetPr>
  <dimension ref="A1:K121"/>
  <sheetViews>
    <sheetView workbookViewId="0">
      <pane ySplit="1" topLeftCell="A2" activePane="bottomLeft" state="frozen"/>
      <selection pane="bottomLeft" activeCell="D2" sqref="D2:D121"/>
    </sheetView>
  </sheetViews>
  <sheetFormatPr defaultRowHeight="15" x14ac:dyDescent="0.25"/>
  <cols>
    <col min="1" max="1" width="16.5703125" style="13" bestFit="1" customWidth="1"/>
    <col min="2" max="2" width="14.7109375" style="13" bestFit="1" customWidth="1"/>
    <col min="3" max="3" width="14.42578125" style="13" bestFit="1" customWidth="1"/>
    <col min="4" max="4" width="23.7109375" style="13" bestFit="1" customWidth="1"/>
    <col min="5" max="5" width="11" style="13" bestFit="1" customWidth="1"/>
    <col min="6" max="6" width="17.42578125" style="13" bestFit="1" customWidth="1"/>
    <col min="7" max="7" width="14.85546875" style="13" bestFit="1" customWidth="1"/>
    <col min="8" max="8" width="11" style="13" bestFit="1" customWidth="1"/>
    <col min="9" max="9" width="17.7109375" style="13" bestFit="1" customWidth="1"/>
    <col min="10" max="10" width="23.7109375" style="13" bestFit="1" customWidth="1"/>
    <col min="11" max="11" width="16.85546875" style="13" bestFit="1" customWidth="1"/>
  </cols>
  <sheetData>
    <row r="1" spans="1:11" x14ac:dyDescent="0.25">
      <c r="A1" s="12" t="s">
        <v>80</v>
      </c>
      <c r="B1" s="12" t="s">
        <v>81</v>
      </c>
      <c r="C1" s="12" t="s">
        <v>82</v>
      </c>
      <c r="D1" s="23" t="s">
        <v>1746</v>
      </c>
      <c r="E1" s="12" t="s">
        <v>83</v>
      </c>
      <c r="F1" s="12" t="s">
        <v>84</v>
      </c>
      <c r="G1" s="12" t="s">
        <v>85</v>
      </c>
      <c r="H1" s="12" t="s">
        <v>22</v>
      </c>
      <c r="I1" s="12" t="s">
        <v>86</v>
      </c>
      <c r="J1" s="12" t="s">
        <v>87</v>
      </c>
      <c r="K1" s="12" t="s">
        <v>88</v>
      </c>
    </row>
    <row r="2" spans="1:11" x14ac:dyDescent="0.25">
      <c r="A2" s="13" t="s">
        <v>89</v>
      </c>
      <c r="B2" s="13" t="s">
        <v>90</v>
      </c>
      <c r="C2" s="13" t="s">
        <v>91</v>
      </c>
      <c r="D2" t="str">
        <f>PROPER(_xlfn.TEXTJOIN(" ", TRUE, B2, C2))</f>
        <v>Patricia Kato</v>
      </c>
      <c r="E2" s="13" t="s">
        <v>92</v>
      </c>
      <c r="F2" s="13" t="s">
        <v>93</v>
      </c>
      <c r="G2" s="13" t="s">
        <v>94</v>
      </c>
      <c r="H2" s="13" t="s">
        <v>95</v>
      </c>
      <c r="I2" s="13" t="s">
        <v>67</v>
      </c>
      <c r="J2" s="13" t="s">
        <v>96</v>
      </c>
      <c r="K2" s="13">
        <v>338</v>
      </c>
    </row>
    <row r="3" spans="1:11" x14ac:dyDescent="0.25">
      <c r="A3" s="13" t="s">
        <v>97</v>
      </c>
      <c r="B3" s="13" t="s">
        <v>98</v>
      </c>
      <c r="C3" s="13" t="s">
        <v>99</v>
      </c>
      <c r="D3" t="str">
        <f t="shared" ref="D3:D66" si="0">PROPER(_xlfn.TEXTJOIN(" ", TRUE, B3, C3))</f>
        <v>Sarah Musoke</v>
      </c>
      <c r="E3" s="13" t="s">
        <v>100</v>
      </c>
      <c r="F3" s="13" t="s">
        <v>101</v>
      </c>
      <c r="G3" s="13" t="s">
        <v>102</v>
      </c>
      <c r="H3" s="13" t="s">
        <v>103</v>
      </c>
      <c r="I3" s="13" t="s">
        <v>46</v>
      </c>
      <c r="J3" s="13" t="s">
        <v>104</v>
      </c>
      <c r="K3" s="13">
        <v>465</v>
      </c>
    </row>
    <row r="4" spans="1:11" x14ac:dyDescent="0.25">
      <c r="A4" s="13" t="s">
        <v>105</v>
      </c>
      <c r="B4" s="13" t="s">
        <v>106</v>
      </c>
      <c r="C4" s="13" t="s">
        <v>107</v>
      </c>
      <c r="D4" t="str">
        <f t="shared" si="0"/>
        <v>Stephen Okello</v>
      </c>
      <c r="E4" s="13" t="s">
        <v>100</v>
      </c>
      <c r="F4" s="13" t="s">
        <v>108</v>
      </c>
      <c r="G4" s="13" t="s">
        <v>109</v>
      </c>
      <c r="H4" s="13" t="s">
        <v>110</v>
      </c>
      <c r="I4" s="13" t="s">
        <v>60</v>
      </c>
      <c r="J4" s="13" t="s">
        <v>111</v>
      </c>
      <c r="K4" s="13">
        <v>774</v>
      </c>
    </row>
    <row r="5" spans="1:11" x14ac:dyDescent="0.25">
      <c r="A5" s="13" t="s">
        <v>112</v>
      </c>
      <c r="B5" s="13" t="s">
        <v>113</v>
      </c>
      <c r="C5" s="13" t="s">
        <v>114</v>
      </c>
      <c r="D5" t="str">
        <f t="shared" si="0"/>
        <v>Florence Kyambadde</v>
      </c>
      <c r="E5" s="13" t="s">
        <v>100</v>
      </c>
      <c r="F5" s="13" t="s">
        <v>115</v>
      </c>
      <c r="G5" s="13" t="s">
        <v>116</v>
      </c>
      <c r="H5" s="13" t="s">
        <v>117</v>
      </c>
      <c r="I5" s="13" t="s">
        <v>33</v>
      </c>
      <c r="J5" s="13" t="s">
        <v>118</v>
      </c>
      <c r="K5" s="13">
        <v>395</v>
      </c>
    </row>
    <row r="6" spans="1:11" x14ac:dyDescent="0.25">
      <c r="A6" s="13" t="s">
        <v>119</v>
      </c>
      <c r="B6" s="13" t="s">
        <v>113</v>
      </c>
      <c r="C6" s="13" t="s">
        <v>120</v>
      </c>
      <c r="D6" t="str">
        <f t="shared" si="0"/>
        <v>Florence Nalweyiso</v>
      </c>
      <c r="E6" s="13" t="s">
        <v>92</v>
      </c>
      <c r="F6" s="13" t="s">
        <v>121</v>
      </c>
      <c r="G6" s="13" t="s">
        <v>122</v>
      </c>
      <c r="H6" s="13" t="s">
        <v>123</v>
      </c>
      <c r="I6" s="13" t="s">
        <v>53</v>
      </c>
      <c r="J6" s="13" t="s">
        <v>111</v>
      </c>
      <c r="K6" s="13">
        <v>520</v>
      </c>
    </row>
    <row r="7" spans="1:11" x14ac:dyDescent="0.25">
      <c r="A7" s="13" t="s">
        <v>124</v>
      </c>
      <c r="B7" s="13" t="s">
        <v>125</v>
      </c>
      <c r="C7" s="13" t="s">
        <v>126</v>
      </c>
      <c r="D7" t="str">
        <f t="shared" si="0"/>
        <v>Harriet Ssekandi</v>
      </c>
      <c r="E7" s="13" t="s">
        <v>100</v>
      </c>
      <c r="F7" s="13" t="s">
        <v>127</v>
      </c>
      <c r="G7" s="13" t="s">
        <v>128</v>
      </c>
      <c r="H7" s="13" t="s">
        <v>129</v>
      </c>
      <c r="I7" s="13" t="s">
        <v>60</v>
      </c>
      <c r="J7" s="13" t="s">
        <v>111</v>
      </c>
      <c r="K7" s="13">
        <v>464</v>
      </c>
    </row>
    <row r="8" spans="1:11" x14ac:dyDescent="0.25">
      <c r="A8" s="13" t="s">
        <v>130</v>
      </c>
      <c r="B8" s="13" t="s">
        <v>131</v>
      </c>
      <c r="C8" s="13" t="s">
        <v>132</v>
      </c>
      <c r="D8" t="str">
        <f t="shared" si="0"/>
        <v>Joseph Nanteza</v>
      </c>
      <c r="E8" s="13" t="s">
        <v>100</v>
      </c>
      <c r="F8" s="13" t="s">
        <v>133</v>
      </c>
      <c r="G8" s="13" t="s">
        <v>134</v>
      </c>
      <c r="H8" s="13" t="s">
        <v>135</v>
      </c>
      <c r="I8" s="13" t="s">
        <v>53</v>
      </c>
      <c r="J8" s="13" t="s">
        <v>96</v>
      </c>
      <c r="K8" s="13">
        <v>828</v>
      </c>
    </row>
    <row r="9" spans="1:11" x14ac:dyDescent="0.25">
      <c r="A9" s="13" t="s">
        <v>136</v>
      </c>
      <c r="B9" s="13" t="s">
        <v>137</v>
      </c>
      <c r="C9" s="13" t="s">
        <v>138</v>
      </c>
      <c r="D9" t="str">
        <f t="shared" si="0"/>
        <v>George Atim</v>
      </c>
      <c r="E9" s="13" t="s">
        <v>92</v>
      </c>
      <c r="F9" s="13" t="s">
        <v>139</v>
      </c>
      <c r="G9" s="13" t="s">
        <v>140</v>
      </c>
      <c r="H9" s="13" t="s">
        <v>141</v>
      </c>
      <c r="I9" s="13" t="s">
        <v>53</v>
      </c>
      <c r="J9" s="13" t="s">
        <v>96</v>
      </c>
      <c r="K9" s="13">
        <v>835</v>
      </c>
    </row>
    <row r="10" spans="1:11" x14ac:dyDescent="0.25">
      <c r="A10" s="13" t="s">
        <v>142</v>
      </c>
      <c r="B10" s="13" t="s">
        <v>143</v>
      </c>
      <c r="C10" s="13" t="s">
        <v>144</v>
      </c>
      <c r="D10" t="str">
        <f t="shared" si="0"/>
        <v>Prosper Kibuuka</v>
      </c>
      <c r="E10" s="13" t="s">
        <v>92</v>
      </c>
      <c r="F10" s="13" t="s">
        <v>145</v>
      </c>
      <c r="G10" s="13" t="s">
        <v>146</v>
      </c>
      <c r="H10" s="13" t="s">
        <v>147</v>
      </c>
      <c r="I10" s="13" t="s">
        <v>53</v>
      </c>
      <c r="J10" s="13" t="s">
        <v>104</v>
      </c>
      <c r="K10" s="13">
        <v>758</v>
      </c>
    </row>
    <row r="11" spans="1:11" x14ac:dyDescent="0.25">
      <c r="A11" s="13" t="s">
        <v>148</v>
      </c>
      <c r="B11" s="13" t="s">
        <v>149</v>
      </c>
      <c r="C11" s="13" t="s">
        <v>150</v>
      </c>
      <c r="D11" t="str">
        <f t="shared" si="0"/>
        <v>Emmanuel Kalinda</v>
      </c>
      <c r="E11" s="13" t="s">
        <v>92</v>
      </c>
      <c r="F11" s="13" t="s">
        <v>151</v>
      </c>
      <c r="G11" s="13" t="s">
        <v>152</v>
      </c>
      <c r="H11" s="13" t="s">
        <v>153</v>
      </c>
      <c r="I11" s="13" t="s">
        <v>73</v>
      </c>
      <c r="J11" s="13" t="s">
        <v>111</v>
      </c>
      <c r="K11" s="13">
        <v>647</v>
      </c>
    </row>
    <row r="12" spans="1:11" x14ac:dyDescent="0.25">
      <c r="A12" s="13" t="s">
        <v>154</v>
      </c>
      <c r="B12" s="13" t="s">
        <v>155</v>
      </c>
      <c r="C12" s="13" t="s">
        <v>126</v>
      </c>
      <c r="D12" t="str">
        <f t="shared" si="0"/>
        <v>Grace Ssekandi</v>
      </c>
      <c r="E12" s="13" t="s">
        <v>100</v>
      </c>
      <c r="F12" s="13" t="s">
        <v>156</v>
      </c>
      <c r="G12" s="13" t="s">
        <v>157</v>
      </c>
      <c r="H12" s="13" t="s">
        <v>158</v>
      </c>
      <c r="I12" s="13" t="s">
        <v>67</v>
      </c>
      <c r="J12" s="13" t="s">
        <v>104</v>
      </c>
      <c r="K12" s="13">
        <v>668</v>
      </c>
    </row>
    <row r="13" spans="1:11" x14ac:dyDescent="0.25">
      <c r="A13" s="13" t="s">
        <v>159</v>
      </c>
      <c r="B13" s="13" t="s">
        <v>160</v>
      </c>
      <c r="C13" s="13" t="s">
        <v>161</v>
      </c>
      <c r="D13" t="str">
        <f t="shared" si="0"/>
        <v>Peter Ssemwogerere</v>
      </c>
      <c r="E13" s="13" t="s">
        <v>92</v>
      </c>
      <c r="F13" s="13" t="s">
        <v>162</v>
      </c>
      <c r="G13" s="13" t="s">
        <v>163</v>
      </c>
      <c r="H13" s="13" t="s">
        <v>164</v>
      </c>
      <c r="I13" s="13" t="s">
        <v>60</v>
      </c>
      <c r="J13" s="13" t="s">
        <v>96</v>
      </c>
      <c r="K13" s="13">
        <v>741</v>
      </c>
    </row>
    <row r="14" spans="1:11" x14ac:dyDescent="0.25">
      <c r="A14" s="13" t="s">
        <v>165</v>
      </c>
      <c r="B14" s="13" t="s">
        <v>166</v>
      </c>
      <c r="C14" s="13" t="s">
        <v>167</v>
      </c>
      <c r="D14" t="str">
        <f t="shared" si="0"/>
        <v>Esther Nakirya</v>
      </c>
      <c r="E14" s="13" t="s">
        <v>100</v>
      </c>
      <c r="F14" s="13" t="s">
        <v>168</v>
      </c>
      <c r="G14" s="13" t="s">
        <v>169</v>
      </c>
      <c r="H14" s="13" t="s">
        <v>170</v>
      </c>
      <c r="I14" s="13" t="s">
        <v>39</v>
      </c>
      <c r="J14" s="13" t="s">
        <v>118</v>
      </c>
      <c r="K14" s="13">
        <v>696</v>
      </c>
    </row>
    <row r="15" spans="1:11" x14ac:dyDescent="0.25">
      <c r="A15" s="13" t="s">
        <v>171</v>
      </c>
      <c r="B15" s="13" t="s">
        <v>172</v>
      </c>
      <c r="C15" s="13" t="s">
        <v>126</v>
      </c>
      <c r="D15" t="str">
        <f t="shared" si="0"/>
        <v>Robert Ssekandi</v>
      </c>
      <c r="E15" s="13" t="s">
        <v>92</v>
      </c>
      <c r="F15" s="13" t="s">
        <v>173</v>
      </c>
      <c r="G15" s="13" t="s">
        <v>174</v>
      </c>
      <c r="H15" s="13" t="s">
        <v>175</v>
      </c>
      <c r="I15" s="13" t="s">
        <v>25</v>
      </c>
      <c r="J15" s="13" t="s">
        <v>111</v>
      </c>
      <c r="K15" s="13">
        <v>513</v>
      </c>
    </row>
    <row r="16" spans="1:11" x14ac:dyDescent="0.25">
      <c r="A16" s="13" t="s">
        <v>176</v>
      </c>
      <c r="B16" s="13" t="s">
        <v>177</v>
      </c>
      <c r="C16" s="13" t="s">
        <v>178</v>
      </c>
      <c r="D16" t="str">
        <f t="shared" si="0"/>
        <v>Agnes Awori</v>
      </c>
      <c r="E16" s="13" t="s">
        <v>100</v>
      </c>
      <c r="F16" s="13" t="s">
        <v>179</v>
      </c>
      <c r="G16" s="13" t="s">
        <v>180</v>
      </c>
      <c r="H16" s="13" t="s">
        <v>181</v>
      </c>
      <c r="I16" s="13" t="s">
        <v>25</v>
      </c>
      <c r="J16" s="13" t="s">
        <v>96</v>
      </c>
      <c r="K16" s="13">
        <v>376</v>
      </c>
    </row>
    <row r="17" spans="1:11" x14ac:dyDescent="0.25">
      <c r="A17" s="13" t="s">
        <v>182</v>
      </c>
      <c r="B17" s="13" t="s">
        <v>183</v>
      </c>
      <c r="C17" s="13" t="s">
        <v>99</v>
      </c>
      <c r="D17" t="str">
        <f t="shared" si="0"/>
        <v>Annet Musoke</v>
      </c>
      <c r="E17" s="13" t="s">
        <v>100</v>
      </c>
      <c r="F17" s="13" t="s">
        <v>184</v>
      </c>
      <c r="G17" s="13" t="s">
        <v>185</v>
      </c>
      <c r="H17" s="13" t="s">
        <v>186</v>
      </c>
      <c r="I17" s="13" t="s">
        <v>39</v>
      </c>
      <c r="J17" s="13" t="s">
        <v>111</v>
      </c>
      <c r="K17" s="13">
        <v>809</v>
      </c>
    </row>
    <row r="18" spans="1:11" x14ac:dyDescent="0.25">
      <c r="A18" s="13" t="s">
        <v>187</v>
      </c>
      <c r="B18" s="13" t="s">
        <v>188</v>
      </c>
      <c r="C18" s="13" t="s">
        <v>120</v>
      </c>
      <c r="D18" t="str">
        <f t="shared" si="0"/>
        <v>Sylvia Nalweyiso</v>
      </c>
      <c r="E18" s="13" t="s">
        <v>100</v>
      </c>
      <c r="F18" s="13" t="s">
        <v>189</v>
      </c>
      <c r="G18" s="13" t="s">
        <v>190</v>
      </c>
      <c r="H18" s="13" t="s">
        <v>191</v>
      </c>
      <c r="I18" s="13" t="s">
        <v>53</v>
      </c>
      <c r="J18" s="13" t="s">
        <v>118</v>
      </c>
      <c r="K18" s="13">
        <v>315</v>
      </c>
    </row>
    <row r="19" spans="1:11" x14ac:dyDescent="0.25">
      <c r="A19" s="13" t="s">
        <v>192</v>
      </c>
      <c r="B19" s="13" t="s">
        <v>193</v>
      </c>
      <c r="C19" s="13" t="s">
        <v>194</v>
      </c>
      <c r="D19" t="str">
        <f t="shared" si="0"/>
        <v>Michael Ochieng</v>
      </c>
      <c r="E19" s="13" t="s">
        <v>92</v>
      </c>
      <c r="F19" s="13" t="s">
        <v>195</v>
      </c>
      <c r="G19" s="13" t="s">
        <v>196</v>
      </c>
      <c r="H19" s="13" t="s">
        <v>197</v>
      </c>
      <c r="I19" s="13" t="s">
        <v>46</v>
      </c>
      <c r="J19" s="13" t="s">
        <v>111</v>
      </c>
      <c r="K19" s="13">
        <v>616</v>
      </c>
    </row>
    <row r="20" spans="1:11" x14ac:dyDescent="0.25">
      <c r="A20" s="13" t="s">
        <v>198</v>
      </c>
      <c r="B20" s="13" t="s">
        <v>199</v>
      </c>
      <c r="C20" s="13" t="s">
        <v>132</v>
      </c>
      <c r="D20" t="str">
        <f t="shared" si="0"/>
        <v>James Nanteza</v>
      </c>
      <c r="E20" s="13" t="s">
        <v>100</v>
      </c>
      <c r="F20" s="13" t="s">
        <v>200</v>
      </c>
      <c r="G20" s="13" t="s">
        <v>201</v>
      </c>
      <c r="H20" s="13" t="s">
        <v>202</v>
      </c>
      <c r="I20" s="13" t="s">
        <v>46</v>
      </c>
      <c r="J20" s="13" t="s">
        <v>96</v>
      </c>
      <c r="K20" s="13">
        <v>389</v>
      </c>
    </row>
    <row r="21" spans="1:11" x14ac:dyDescent="0.25">
      <c r="A21" s="13" t="s">
        <v>203</v>
      </c>
      <c r="B21" s="13" t="s">
        <v>204</v>
      </c>
      <c r="C21" s="13" t="s">
        <v>205</v>
      </c>
      <c r="D21" t="str">
        <f t="shared" si="0"/>
        <v>Charles Mugisha</v>
      </c>
      <c r="E21" s="13" t="s">
        <v>100</v>
      </c>
      <c r="F21" s="13" t="s">
        <v>206</v>
      </c>
      <c r="G21" s="13" t="s">
        <v>207</v>
      </c>
      <c r="H21" s="13" t="s">
        <v>208</v>
      </c>
      <c r="I21" s="13" t="s">
        <v>33</v>
      </c>
      <c r="J21" s="13" t="s">
        <v>209</v>
      </c>
      <c r="K21" s="13">
        <v>396</v>
      </c>
    </row>
    <row r="22" spans="1:11" x14ac:dyDescent="0.25">
      <c r="A22" s="13" t="s">
        <v>210</v>
      </c>
      <c r="B22" s="13" t="s">
        <v>211</v>
      </c>
      <c r="C22" s="13" t="s">
        <v>212</v>
      </c>
      <c r="D22" t="str">
        <f t="shared" si="0"/>
        <v>Isaac Muhwezi</v>
      </c>
      <c r="E22" s="13" t="s">
        <v>92</v>
      </c>
      <c r="F22" s="13" t="s">
        <v>213</v>
      </c>
      <c r="G22" s="13" t="s">
        <v>214</v>
      </c>
      <c r="H22" s="13" t="s">
        <v>215</v>
      </c>
      <c r="I22" s="13" t="s">
        <v>25</v>
      </c>
      <c r="J22" s="13" t="s">
        <v>209</v>
      </c>
      <c r="K22" s="13">
        <v>621</v>
      </c>
    </row>
    <row r="23" spans="1:11" x14ac:dyDescent="0.25">
      <c r="A23" s="13" t="s">
        <v>216</v>
      </c>
      <c r="B23" s="13" t="s">
        <v>217</v>
      </c>
      <c r="C23" s="13" t="s">
        <v>218</v>
      </c>
      <c r="D23" t="str">
        <f t="shared" si="0"/>
        <v>Daniel Kabugo</v>
      </c>
      <c r="E23" s="13" t="s">
        <v>100</v>
      </c>
      <c r="F23" s="13" t="s">
        <v>219</v>
      </c>
      <c r="G23" s="13" t="s">
        <v>220</v>
      </c>
      <c r="H23" s="13" t="s">
        <v>221</v>
      </c>
      <c r="I23" s="13" t="s">
        <v>53</v>
      </c>
      <c r="J23" s="13" t="s">
        <v>111</v>
      </c>
      <c r="K23" s="13">
        <v>602</v>
      </c>
    </row>
    <row r="24" spans="1:11" x14ac:dyDescent="0.25">
      <c r="A24" s="13" t="s">
        <v>222</v>
      </c>
      <c r="B24" s="13" t="s">
        <v>149</v>
      </c>
      <c r="C24" s="13" t="s">
        <v>126</v>
      </c>
      <c r="D24" t="str">
        <f t="shared" si="0"/>
        <v>Emmanuel Ssekandi</v>
      </c>
      <c r="E24" s="13" t="s">
        <v>100</v>
      </c>
      <c r="F24" s="13" t="s">
        <v>223</v>
      </c>
      <c r="G24" s="13" t="s">
        <v>224</v>
      </c>
      <c r="H24" s="13" t="s">
        <v>225</v>
      </c>
      <c r="I24" s="13" t="s">
        <v>46</v>
      </c>
      <c r="J24" s="13" t="s">
        <v>111</v>
      </c>
      <c r="K24" s="13">
        <v>369</v>
      </c>
    </row>
    <row r="25" spans="1:11" x14ac:dyDescent="0.25">
      <c r="A25" s="13" t="s">
        <v>226</v>
      </c>
      <c r="B25" s="13" t="s">
        <v>227</v>
      </c>
      <c r="C25" s="13" t="s">
        <v>178</v>
      </c>
      <c r="D25" t="str">
        <f t="shared" si="0"/>
        <v>Christine Awori</v>
      </c>
      <c r="E25" s="13" t="s">
        <v>92</v>
      </c>
      <c r="F25" s="13" t="s">
        <v>228</v>
      </c>
      <c r="G25" s="13" t="s">
        <v>229</v>
      </c>
      <c r="H25" s="13" t="s">
        <v>230</v>
      </c>
      <c r="I25" s="13" t="s">
        <v>53</v>
      </c>
      <c r="J25" s="13" t="s">
        <v>104</v>
      </c>
      <c r="K25" s="13">
        <v>672</v>
      </c>
    </row>
    <row r="26" spans="1:11" x14ac:dyDescent="0.25">
      <c r="A26" s="13" t="s">
        <v>231</v>
      </c>
      <c r="B26" s="13" t="s">
        <v>166</v>
      </c>
      <c r="C26" s="13" t="s">
        <v>167</v>
      </c>
      <c r="D26" t="str">
        <f t="shared" si="0"/>
        <v>Esther Nakirya</v>
      </c>
      <c r="E26" s="13" t="s">
        <v>92</v>
      </c>
      <c r="F26" s="13" t="s">
        <v>232</v>
      </c>
      <c r="G26" s="13" t="s">
        <v>233</v>
      </c>
      <c r="H26" s="13" t="s">
        <v>234</v>
      </c>
      <c r="I26" s="13" t="s">
        <v>60</v>
      </c>
      <c r="J26" s="13" t="s">
        <v>104</v>
      </c>
      <c r="K26" s="13">
        <v>391</v>
      </c>
    </row>
    <row r="27" spans="1:11" x14ac:dyDescent="0.25">
      <c r="A27" s="13" t="s">
        <v>235</v>
      </c>
      <c r="B27" s="13" t="s">
        <v>155</v>
      </c>
      <c r="C27" s="13" t="s">
        <v>144</v>
      </c>
      <c r="D27" t="str">
        <f t="shared" si="0"/>
        <v>Grace Kibuuka</v>
      </c>
      <c r="E27" s="13" t="s">
        <v>92</v>
      </c>
      <c r="F27" s="13" t="s">
        <v>236</v>
      </c>
      <c r="G27" s="13" t="s">
        <v>237</v>
      </c>
      <c r="H27" s="13" t="s">
        <v>238</v>
      </c>
      <c r="I27" s="13" t="s">
        <v>33</v>
      </c>
      <c r="J27" s="13" t="s">
        <v>118</v>
      </c>
      <c r="K27" s="13">
        <v>483</v>
      </c>
    </row>
    <row r="28" spans="1:11" x14ac:dyDescent="0.25">
      <c r="A28" s="13" t="s">
        <v>239</v>
      </c>
      <c r="B28" s="13" t="s">
        <v>199</v>
      </c>
      <c r="C28" s="13" t="s">
        <v>240</v>
      </c>
      <c r="D28" t="str">
        <f t="shared" si="0"/>
        <v>James Tendo</v>
      </c>
      <c r="E28" s="13" t="s">
        <v>100</v>
      </c>
      <c r="F28" s="13" t="s">
        <v>241</v>
      </c>
      <c r="G28" s="13" t="s">
        <v>242</v>
      </c>
      <c r="H28" s="13" t="s">
        <v>243</v>
      </c>
      <c r="I28" s="13" t="s">
        <v>33</v>
      </c>
      <c r="J28" s="13" t="s">
        <v>209</v>
      </c>
      <c r="K28" s="13">
        <v>564</v>
      </c>
    </row>
    <row r="29" spans="1:11" x14ac:dyDescent="0.25">
      <c r="A29" s="13" t="s">
        <v>244</v>
      </c>
      <c r="B29" s="13" t="s">
        <v>106</v>
      </c>
      <c r="C29" s="13" t="s">
        <v>144</v>
      </c>
      <c r="D29" t="str">
        <f t="shared" si="0"/>
        <v>Stephen Kibuuka</v>
      </c>
      <c r="E29" s="13" t="s">
        <v>92</v>
      </c>
      <c r="F29" s="13" t="s">
        <v>245</v>
      </c>
      <c r="G29" s="13" t="s">
        <v>246</v>
      </c>
      <c r="H29" s="13" t="s">
        <v>247</v>
      </c>
      <c r="I29" s="13" t="s">
        <v>39</v>
      </c>
      <c r="J29" s="13" t="s">
        <v>209</v>
      </c>
      <c r="K29" s="13">
        <v>562</v>
      </c>
    </row>
    <row r="30" spans="1:11" x14ac:dyDescent="0.25">
      <c r="A30" s="13" t="s">
        <v>248</v>
      </c>
      <c r="B30" s="13" t="s">
        <v>249</v>
      </c>
      <c r="C30" s="13" t="s">
        <v>194</v>
      </c>
      <c r="D30" t="str">
        <f t="shared" si="0"/>
        <v>Simon Ochieng</v>
      </c>
      <c r="E30" s="13" t="s">
        <v>92</v>
      </c>
      <c r="F30" s="13" t="s">
        <v>250</v>
      </c>
      <c r="G30" s="13" t="s">
        <v>251</v>
      </c>
      <c r="H30" s="13" t="s">
        <v>252</v>
      </c>
      <c r="I30" s="13" t="s">
        <v>33</v>
      </c>
      <c r="J30" s="13" t="s">
        <v>209</v>
      </c>
      <c r="K30" s="13">
        <v>443</v>
      </c>
    </row>
    <row r="31" spans="1:11" x14ac:dyDescent="0.25">
      <c r="A31" s="13" t="s">
        <v>253</v>
      </c>
      <c r="B31" s="13" t="s">
        <v>143</v>
      </c>
      <c r="C31" s="13" t="s">
        <v>161</v>
      </c>
      <c r="D31" t="str">
        <f t="shared" si="0"/>
        <v>Prosper Ssemwogerere</v>
      </c>
      <c r="E31" s="13" t="s">
        <v>92</v>
      </c>
      <c r="F31" s="13" t="s">
        <v>254</v>
      </c>
      <c r="G31" s="13" t="s">
        <v>255</v>
      </c>
      <c r="H31" s="13" t="s">
        <v>256</v>
      </c>
      <c r="I31" s="13" t="s">
        <v>39</v>
      </c>
      <c r="J31" s="13" t="s">
        <v>118</v>
      </c>
      <c r="K31" s="13">
        <v>799</v>
      </c>
    </row>
    <row r="32" spans="1:11" x14ac:dyDescent="0.25">
      <c r="A32" s="13" t="s">
        <v>257</v>
      </c>
      <c r="B32" s="13" t="s">
        <v>258</v>
      </c>
      <c r="C32" s="13" t="s">
        <v>132</v>
      </c>
      <c r="D32" t="str">
        <f t="shared" si="0"/>
        <v>Phionah Nanteza</v>
      </c>
      <c r="E32" s="13" t="s">
        <v>92</v>
      </c>
      <c r="F32" s="13" t="s">
        <v>259</v>
      </c>
      <c r="G32" s="13" t="s">
        <v>260</v>
      </c>
      <c r="H32" s="13" t="s">
        <v>261</v>
      </c>
      <c r="I32" s="13" t="s">
        <v>39</v>
      </c>
      <c r="J32" s="13" t="s">
        <v>118</v>
      </c>
      <c r="K32" s="13">
        <v>672</v>
      </c>
    </row>
    <row r="33" spans="1:11" x14ac:dyDescent="0.25">
      <c r="A33" s="13" t="s">
        <v>262</v>
      </c>
      <c r="B33" s="13" t="s">
        <v>90</v>
      </c>
      <c r="C33" s="13" t="s">
        <v>263</v>
      </c>
      <c r="D33" t="str">
        <f t="shared" si="0"/>
        <v>Patricia Tusiime</v>
      </c>
      <c r="E33" s="13" t="s">
        <v>100</v>
      </c>
      <c r="F33" s="13" t="s">
        <v>264</v>
      </c>
      <c r="G33" s="13" t="s">
        <v>265</v>
      </c>
      <c r="H33" s="13" t="s">
        <v>266</v>
      </c>
      <c r="I33" s="13" t="s">
        <v>46</v>
      </c>
      <c r="J33" s="13" t="s">
        <v>104</v>
      </c>
      <c r="K33" s="13">
        <v>710</v>
      </c>
    </row>
    <row r="34" spans="1:11" x14ac:dyDescent="0.25">
      <c r="A34" s="13" t="s">
        <v>267</v>
      </c>
      <c r="B34" s="13" t="s">
        <v>268</v>
      </c>
      <c r="C34" s="13" t="s">
        <v>161</v>
      </c>
      <c r="D34" t="str">
        <f t="shared" si="0"/>
        <v>Ruth Ssemwogerere</v>
      </c>
      <c r="E34" s="13" t="s">
        <v>92</v>
      </c>
      <c r="F34" s="13" t="s">
        <v>269</v>
      </c>
      <c r="G34" s="13" t="s">
        <v>270</v>
      </c>
      <c r="H34" s="13" t="s">
        <v>271</v>
      </c>
      <c r="I34" s="13" t="s">
        <v>25</v>
      </c>
      <c r="J34" s="13" t="s">
        <v>209</v>
      </c>
      <c r="K34" s="13">
        <v>432</v>
      </c>
    </row>
    <row r="35" spans="1:11" x14ac:dyDescent="0.25">
      <c r="A35" s="13" t="s">
        <v>272</v>
      </c>
      <c r="B35" s="13" t="s">
        <v>273</v>
      </c>
      <c r="C35" s="13" t="s">
        <v>274</v>
      </c>
      <c r="D35" t="str">
        <f t="shared" si="0"/>
        <v>Henry Mugerwa</v>
      </c>
      <c r="E35" s="13" t="s">
        <v>92</v>
      </c>
      <c r="F35" s="13" t="s">
        <v>275</v>
      </c>
      <c r="G35" s="13" t="s">
        <v>276</v>
      </c>
      <c r="H35" s="13" t="s">
        <v>277</v>
      </c>
      <c r="I35" s="13" t="s">
        <v>33</v>
      </c>
      <c r="J35" s="13" t="s">
        <v>209</v>
      </c>
      <c r="K35" s="13">
        <v>675</v>
      </c>
    </row>
    <row r="36" spans="1:11" x14ac:dyDescent="0.25">
      <c r="A36" s="13" t="s">
        <v>278</v>
      </c>
      <c r="B36" s="13" t="s">
        <v>258</v>
      </c>
      <c r="C36" s="13" t="s">
        <v>279</v>
      </c>
      <c r="D36" t="str">
        <f t="shared" si="0"/>
        <v>Phionah Nakato</v>
      </c>
      <c r="E36" s="13" t="s">
        <v>92</v>
      </c>
      <c r="F36" s="13" t="s">
        <v>280</v>
      </c>
      <c r="G36" s="13" t="s">
        <v>281</v>
      </c>
      <c r="H36" s="13" t="s">
        <v>282</v>
      </c>
      <c r="I36" s="13" t="s">
        <v>60</v>
      </c>
      <c r="J36" s="13" t="s">
        <v>96</v>
      </c>
      <c r="K36" s="13">
        <v>621</v>
      </c>
    </row>
    <row r="37" spans="1:11" x14ac:dyDescent="0.25">
      <c r="A37" s="13" t="s">
        <v>283</v>
      </c>
      <c r="B37" s="13" t="s">
        <v>149</v>
      </c>
      <c r="C37" s="13" t="s">
        <v>240</v>
      </c>
      <c r="D37" t="str">
        <f t="shared" si="0"/>
        <v>Emmanuel Tendo</v>
      </c>
      <c r="E37" s="13" t="s">
        <v>100</v>
      </c>
      <c r="F37" s="13" t="s">
        <v>284</v>
      </c>
      <c r="G37" s="13" t="s">
        <v>285</v>
      </c>
      <c r="H37" s="13" t="s">
        <v>286</v>
      </c>
      <c r="I37" s="13" t="s">
        <v>39</v>
      </c>
      <c r="J37" s="13" t="s">
        <v>104</v>
      </c>
      <c r="K37" s="13">
        <v>385</v>
      </c>
    </row>
    <row r="38" spans="1:11" x14ac:dyDescent="0.25">
      <c r="A38" s="13" t="s">
        <v>287</v>
      </c>
      <c r="B38" s="13" t="s">
        <v>98</v>
      </c>
      <c r="C38" s="13" t="s">
        <v>288</v>
      </c>
      <c r="D38" t="str">
        <f t="shared" si="0"/>
        <v>Sarah Namutebi</v>
      </c>
      <c r="E38" s="13" t="s">
        <v>92</v>
      </c>
      <c r="F38" s="13" t="s">
        <v>289</v>
      </c>
      <c r="G38" s="13" t="s">
        <v>290</v>
      </c>
      <c r="H38" s="13" t="s">
        <v>291</v>
      </c>
      <c r="I38" s="13" t="s">
        <v>39</v>
      </c>
      <c r="J38" s="13" t="s">
        <v>209</v>
      </c>
      <c r="K38" s="13">
        <v>818</v>
      </c>
    </row>
    <row r="39" spans="1:11" x14ac:dyDescent="0.25">
      <c r="A39" s="13" t="s">
        <v>292</v>
      </c>
      <c r="B39" s="13" t="s">
        <v>293</v>
      </c>
      <c r="C39" s="13" t="s">
        <v>126</v>
      </c>
      <c r="D39" t="str">
        <f t="shared" si="0"/>
        <v>Elizabeth Ssekandi</v>
      </c>
      <c r="E39" s="13" t="s">
        <v>100</v>
      </c>
      <c r="F39" s="13" t="s">
        <v>294</v>
      </c>
      <c r="G39" s="13" t="s">
        <v>295</v>
      </c>
      <c r="H39" s="13" t="s">
        <v>296</v>
      </c>
      <c r="I39" s="13" t="s">
        <v>46</v>
      </c>
      <c r="J39" s="13" t="s">
        <v>209</v>
      </c>
      <c r="K39" s="13">
        <v>569</v>
      </c>
    </row>
    <row r="40" spans="1:11" x14ac:dyDescent="0.25">
      <c r="A40" s="13" t="s">
        <v>297</v>
      </c>
      <c r="B40" s="13" t="s">
        <v>98</v>
      </c>
      <c r="C40" s="13" t="s">
        <v>240</v>
      </c>
      <c r="D40" t="str">
        <f t="shared" si="0"/>
        <v>Sarah Tendo</v>
      </c>
      <c r="E40" s="13" t="s">
        <v>100</v>
      </c>
      <c r="F40" s="13" t="s">
        <v>298</v>
      </c>
      <c r="G40" s="13" t="s">
        <v>299</v>
      </c>
      <c r="H40" s="13" t="s">
        <v>300</v>
      </c>
      <c r="I40" s="13" t="s">
        <v>67</v>
      </c>
      <c r="J40" s="13" t="s">
        <v>118</v>
      </c>
      <c r="K40" s="13">
        <v>358</v>
      </c>
    </row>
    <row r="41" spans="1:11" x14ac:dyDescent="0.25">
      <c r="A41" s="13" t="s">
        <v>301</v>
      </c>
      <c r="B41" s="13" t="s">
        <v>258</v>
      </c>
      <c r="C41" s="13" t="s">
        <v>302</v>
      </c>
      <c r="D41" t="str">
        <f t="shared" si="0"/>
        <v>Phionah Tumwine</v>
      </c>
      <c r="E41" s="13" t="s">
        <v>100</v>
      </c>
      <c r="F41" s="13" t="s">
        <v>303</v>
      </c>
      <c r="G41" s="13" t="s">
        <v>304</v>
      </c>
      <c r="H41" s="13" t="s">
        <v>305</v>
      </c>
      <c r="I41" s="13" t="s">
        <v>33</v>
      </c>
      <c r="J41" s="13" t="s">
        <v>111</v>
      </c>
      <c r="K41" s="13">
        <v>308</v>
      </c>
    </row>
    <row r="42" spans="1:11" x14ac:dyDescent="0.25">
      <c r="A42" s="13" t="s">
        <v>306</v>
      </c>
      <c r="B42" s="13" t="s">
        <v>211</v>
      </c>
      <c r="C42" s="13" t="s">
        <v>212</v>
      </c>
      <c r="D42" t="str">
        <f t="shared" si="0"/>
        <v>Isaac Muhwezi</v>
      </c>
      <c r="E42" s="13" t="s">
        <v>92</v>
      </c>
      <c r="F42" s="13" t="s">
        <v>307</v>
      </c>
      <c r="G42" s="13" t="s">
        <v>308</v>
      </c>
      <c r="H42" s="13" t="s">
        <v>309</v>
      </c>
      <c r="I42" s="13" t="s">
        <v>25</v>
      </c>
      <c r="J42" s="13" t="s">
        <v>111</v>
      </c>
      <c r="K42" s="13">
        <v>407</v>
      </c>
    </row>
    <row r="43" spans="1:11" x14ac:dyDescent="0.25">
      <c r="A43" s="13" t="s">
        <v>310</v>
      </c>
      <c r="B43" s="13" t="s">
        <v>311</v>
      </c>
      <c r="C43" s="13" t="s">
        <v>161</v>
      </c>
      <c r="D43" t="str">
        <f t="shared" si="0"/>
        <v>Moses Ssemwogerere</v>
      </c>
      <c r="E43" s="13" t="s">
        <v>100</v>
      </c>
      <c r="F43" s="13" t="s">
        <v>312</v>
      </c>
      <c r="G43" s="13" t="s">
        <v>313</v>
      </c>
      <c r="H43" s="13" t="s">
        <v>314</v>
      </c>
      <c r="I43" s="13" t="s">
        <v>33</v>
      </c>
      <c r="J43" s="13" t="s">
        <v>104</v>
      </c>
      <c r="K43" s="13">
        <v>684</v>
      </c>
    </row>
    <row r="44" spans="1:11" x14ac:dyDescent="0.25">
      <c r="A44" s="13" t="s">
        <v>315</v>
      </c>
      <c r="B44" s="13" t="s">
        <v>316</v>
      </c>
      <c r="C44" s="13" t="s">
        <v>317</v>
      </c>
      <c r="D44" t="str">
        <f t="shared" si="0"/>
        <v>Doreen Apio</v>
      </c>
      <c r="E44" s="13" t="s">
        <v>92</v>
      </c>
      <c r="F44" s="13" t="s">
        <v>318</v>
      </c>
      <c r="G44" s="13" t="s">
        <v>319</v>
      </c>
      <c r="H44" s="13" t="s">
        <v>320</v>
      </c>
      <c r="I44" s="13" t="s">
        <v>67</v>
      </c>
      <c r="J44" s="13" t="s">
        <v>111</v>
      </c>
      <c r="K44" s="13">
        <v>708</v>
      </c>
    </row>
    <row r="45" spans="1:11" x14ac:dyDescent="0.25">
      <c r="A45" s="13" t="s">
        <v>321</v>
      </c>
      <c r="B45" s="13" t="s">
        <v>322</v>
      </c>
      <c r="C45" s="13" t="s">
        <v>323</v>
      </c>
      <c r="D45" t="str">
        <f t="shared" si="0"/>
        <v>Irene Nsubuga</v>
      </c>
      <c r="E45" s="13" t="s">
        <v>92</v>
      </c>
      <c r="F45" s="13" t="s">
        <v>324</v>
      </c>
      <c r="G45" s="13" t="s">
        <v>325</v>
      </c>
      <c r="H45" s="13" t="s">
        <v>326</v>
      </c>
      <c r="I45" s="13" t="s">
        <v>73</v>
      </c>
      <c r="J45" s="13" t="s">
        <v>118</v>
      </c>
      <c r="K45" s="13">
        <v>528</v>
      </c>
    </row>
    <row r="46" spans="1:11" x14ac:dyDescent="0.25">
      <c r="A46" s="13" t="s">
        <v>327</v>
      </c>
      <c r="B46" s="13" t="s">
        <v>328</v>
      </c>
      <c r="C46" s="13" t="s">
        <v>240</v>
      </c>
      <c r="D46" t="str">
        <f t="shared" si="0"/>
        <v>Lydia Tendo</v>
      </c>
      <c r="E46" s="13" t="s">
        <v>100</v>
      </c>
      <c r="F46" s="13" t="s">
        <v>329</v>
      </c>
      <c r="G46" s="13" t="s">
        <v>330</v>
      </c>
      <c r="H46" s="13" t="s">
        <v>331</v>
      </c>
      <c r="I46" s="13" t="s">
        <v>33</v>
      </c>
      <c r="J46" s="13" t="s">
        <v>209</v>
      </c>
      <c r="K46" s="13">
        <v>773</v>
      </c>
    </row>
    <row r="47" spans="1:11" x14ac:dyDescent="0.25">
      <c r="A47" s="13" t="s">
        <v>332</v>
      </c>
      <c r="B47" s="13" t="s">
        <v>316</v>
      </c>
      <c r="C47" s="13" t="s">
        <v>240</v>
      </c>
      <c r="D47" t="str">
        <f t="shared" si="0"/>
        <v>Doreen Tendo</v>
      </c>
      <c r="E47" s="13" t="s">
        <v>92</v>
      </c>
      <c r="F47" s="13" t="s">
        <v>333</v>
      </c>
      <c r="G47" s="13" t="s">
        <v>334</v>
      </c>
      <c r="H47" s="13" t="s">
        <v>335</v>
      </c>
      <c r="I47" s="13" t="s">
        <v>25</v>
      </c>
      <c r="J47" s="13" t="s">
        <v>118</v>
      </c>
      <c r="K47" s="13">
        <v>657</v>
      </c>
    </row>
    <row r="48" spans="1:11" x14ac:dyDescent="0.25">
      <c r="A48" s="13" t="s">
        <v>336</v>
      </c>
      <c r="B48" s="13" t="s">
        <v>149</v>
      </c>
      <c r="C48" s="13" t="s">
        <v>178</v>
      </c>
      <c r="D48" t="str">
        <f t="shared" si="0"/>
        <v>Emmanuel Awori</v>
      </c>
      <c r="E48" s="13" t="s">
        <v>100</v>
      </c>
      <c r="F48" s="13" t="s">
        <v>337</v>
      </c>
      <c r="G48" s="13" t="s">
        <v>338</v>
      </c>
      <c r="H48" s="13" t="s">
        <v>339</v>
      </c>
      <c r="I48" s="13" t="s">
        <v>73</v>
      </c>
      <c r="J48" s="13" t="s">
        <v>209</v>
      </c>
      <c r="K48" s="13">
        <v>779</v>
      </c>
    </row>
    <row r="49" spans="1:11" x14ac:dyDescent="0.25">
      <c r="A49" s="13" t="s">
        <v>340</v>
      </c>
      <c r="B49" s="13" t="s">
        <v>149</v>
      </c>
      <c r="C49" s="13" t="s">
        <v>341</v>
      </c>
      <c r="D49" t="str">
        <f t="shared" si="0"/>
        <v>Emmanuel Ssali</v>
      </c>
      <c r="E49" s="13" t="s">
        <v>100</v>
      </c>
      <c r="F49" s="13" t="s">
        <v>342</v>
      </c>
      <c r="G49" s="13" t="s">
        <v>343</v>
      </c>
      <c r="H49" s="13" t="s">
        <v>344</v>
      </c>
      <c r="I49" s="13" t="s">
        <v>73</v>
      </c>
      <c r="J49" s="13" t="s">
        <v>96</v>
      </c>
      <c r="K49" s="13">
        <v>776</v>
      </c>
    </row>
    <row r="50" spans="1:11" x14ac:dyDescent="0.25">
      <c r="A50" s="13" t="s">
        <v>345</v>
      </c>
      <c r="B50" s="13" t="s">
        <v>137</v>
      </c>
      <c r="C50" s="13" t="s">
        <v>138</v>
      </c>
      <c r="D50" t="str">
        <f t="shared" si="0"/>
        <v>George Atim</v>
      </c>
      <c r="E50" s="13" t="s">
        <v>100</v>
      </c>
      <c r="F50" s="13" t="s">
        <v>346</v>
      </c>
      <c r="G50" s="13" t="s">
        <v>347</v>
      </c>
      <c r="H50" s="13" t="s">
        <v>348</v>
      </c>
      <c r="I50" s="13" t="s">
        <v>73</v>
      </c>
      <c r="J50" s="13" t="s">
        <v>118</v>
      </c>
      <c r="K50" s="13">
        <v>387</v>
      </c>
    </row>
    <row r="51" spans="1:11" x14ac:dyDescent="0.25">
      <c r="A51" s="13" t="s">
        <v>349</v>
      </c>
      <c r="B51" s="13" t="s">
        <v>316</v>
      </c>
      <c r="C51" s="13" t="s">
        <v>167</v>
      </c>
      <c r="D51" t="str">
        <f t="shared" si="0"/>
        <v>Doreen Nakirya</v>
      </c>
      <c r="E51" s="13" t="s">
        <v>92</v>
      </c>
      <c r="F51" s="13" t="s">
        <v>350</v>
      </c>
      <c r="G51" s="13" t="s">
        <v>351</v>
      </c>
      <c r="H51" s="13" t="s">
        <v>352</v>
      </c>
      <c r="I51" s="13" t="s">
        <v>73</v>
      </c>
      <c r="J51" s="13" t="s">
        <v>111</v>
      </c>
      <c r="K51" s="13">
        <v>410</v>
      </c>
    </row>
    <row r="52" spans="1:11" x14ac:dyDescent="0.25">
      <c r="A52" s="13" t="s">
        <v>353</v>
      </c>
      <c r="B52" s="13" t="s">
        <v>149</v>
      </c>
      <c r="C52" s="13" t="s">
        <v>107</v>
      </c>
      <c r="D52" t="str">
        <f t="shared" si="0"/>
        <v>Emmanuel Okello</v>
      </c>
      <c r="E52" s="13" t="s">
        <v>92</v>
      </c>
      <c r="F52" s="13" t="s">
        <v>354</v>
      </c>
      <c r="G52" s="13" t="s">
        <v>355</v>
      </c>
      <c r="H52" s="13" t="s">
        <v>356</v>
      </c>
      <c r="I52" s="13" t="s">
        <v>39</v>
      </c>
      <c r="J52" s="13" t="s">
        <v>209</v>
      </c>
      <c r="K52" s="13">
        <v>743</v>
      </c>
    </row>
    <row r="53" spans="1:11" x14ac:dyDescent="0.25">
      <c r="A53" s="13" t="s">
        <v>357</v>
      </c>
      <c r="B53" s="13" t="s">
        <v>125</v>
      </c>
      <c r="C53" s="13" t="s">
        <v>114</v>
      </c>
      <c r="D53" t="str">
        <f t="shared" si="0"/>
        <v>Harriet Kyambadde</v>
      </c>
      <c r="E53" s="13" t="s">
        <v>100</v>
      </c>
      <c r="F53" s="13" t="s">
        <v>358</v>
      </c>
      <c r="G53" s="13" t="s">
        <v>359</v>
      </c>
      <c r="H53" s="13" t="s">
        <v>360</v>
      </c>
      <c r="I53" s="13" t="s">
        <v>67</v>
      </c>
      <c r="J53" s="13" t="s">
        <v>111</v>
      </c>
      <c r="K53" s="13">
        <v>711</v>
      </c>
    </row>
    <row r="54" spans="1:11" x14ac:dyDescent="0.25">
      <c r="A54" s="13" t="s">
        <v>361</v>
      </c>
      <c r="B54" s="13" t="s">
        <v>143</v>
      </c>
      <c r="C54" s="13" t="s">
        <v>362</v>
      </c>
      <c r="D54" t="str">
        <f t="shared" si="0"/>
        <v>Prosper Lunkuse</v>
      </c>
      <c r="E54" s="13" t="s">
        <v>92</v>
      </c>
      <c r="F54" s="13" t="s">
        <v>363</v>
      </c>
      <c r="G54" s="13" t="s">
        <v>364</v>
      </c>
      <c r="H54" s="13" t="s">
        <v>365</v>
      </c>
      <c r="I54" s="13" t="s">
        <v>25</v>
      </c>
      <c r="J54" s="13" t="s">
        <v>104</v>
      </c>
      <c r="K54" s="13">
        <v>366</v>
      </c>
    </row>
    <row r="55" spans="1:11" x14ac:dyDescent="0.25">
      <c r="A55" s="13" t="s">
        <v>366</v>
      </c>
      <c r="B55" s="13" t="s">
        <v>249</v>
      </c>
      <c r="C55" s="13" t="s">
        <v>367</v>
      </c>
      <c r="D55" t="str">
        <f t="shared" si="0"/>
        <v>Simon Mwesigwa</v>
      </c>
      <c r="E55" s="13" t="s">
        <v>92</v>
      </c>
      <c r="F55" s="13" t="s">
        <v>368</v>
      </c>
      <c r="G55" s="13" t="s">
        <v>369</v>
      </c>
      <c r="H55" s="13" t="s">
        <v>370</v>
      </c>
      <c r="I55" s="13" t="s">
        <v>67</v>
      </c>
      <c r="J55" s="13" t="s">
        <v>104</v>
      </c>
      <c r="K55" s="13">
        <v>650</v>
      </c>
    </row>
    <row r="56" spans="1:11" x14ac:dyDescent="0.25">
      <c r="A56" s="13" t="s">
        <v>371</v>
      </c>
      <c r="B56" s="13" t="s">
        <v>372</v>
      </c>
      <c r="C56" s="13" t="s">
        <v>150</v>
      </c>
      <c r="D56" t="str">
        <f t="shared" si="0"/>
        <v>John Kalinda</v>
      </c>
      <c r="E56" s="13" t="s">
        <v>100</v>
      </c>
      <c r="F56" s="13" t="s">
        <v>373</v>
      </c>
      <c r="G56" s="13" t="s">
        <v>374</v>
      </c>
      <c r="H56" s="13" t="s">
        <v>375</v>
      </c>
      <c r="I56" s="13" t="s">
        <v>33</v>
      </c>
      <c r="J56" s="13" t="s">
        <v>96</v>
      </c>
      <c r="K56" s="13">
        <v>797</v>
      </c>
    </row>
    <row r="57" spans="1:11" x14ac:dyDescent="0.25">
      <c r="A57" s="13" t="s">
        <v>376</v>
      </c>
      <c r="B57" s="13" t="s">
        <v>211</v>
      </c>
      <c r="C57" s="13" t="s">
        <v>341</v>
      </c>
      <c r="D57" t="str">
        <f t="shared" si="0"/>
        <v>Isaac Ssali</v>
      </c>
      <c r="E57" s="13" t="s">
        <v>92</v>
      </c>
      <c r="F57" s="13" t="s">
        <v>377</v>
      </c>
      <c r="G57" s="13" t="s">
        <v>378</v>
      </c>
      <c r="H57" s="13" t="s">
        <v>379</v>
      </c>
      <c r="I57" s="13" t="s">
        <v>60</v>
      </c>
      <c r="J57" s="13" t="s">
        <v>111</v>
      </c>
      <c r="K57" s="13">
        <v>787</v>
      </c>
    </row>
    <row r="58" spans="1:11" x14ac:dyDescent="0.25">
      <c r="A58" s="13" t="s">
        <v>380</v>
      </c>
      <c r="B58" s="13" t="s">
        <v>131</v>
      </c>
      <c r="C58" s="13" t="s">
        <v>367</v>
      </c>
      <c r="D58" t="str">
        <f t="shared" si="0"/>
        <v>Joseph Mwesigwa</v>
      </c>
      <c r="E58" s="13" t="s">
        <v>92</v>
      </c>
      <c r="F58" s="13" t="s">
        <v>381</v>
      </c>
      <c r="G58" s="13" t="s">
        <v>382</v>
      </c>
      <c r="H58" s="13" t="s">
        <v>383</v>
      </c>
      <c r="I58" s="13" t="s">
        <v>46</v>
      </c>
      <c r="J58" s="13" t="s">
        <v>118</v>
      </c>
      <c r="K58" s="13">
        <v>585</v>
      </c>
    </row>
    <row r="59" spans="1:11" x14ac:dyDescent="0.25">
      <c r="A59" s="13" t="s">
        <v>384</v>
      </c>
      <c r="B59" s="13" t="s">
        <v>199</v>
      </c>
      <c r="C59" s="13" t="s">
        <v>367</v>
      </c>
      <c r="D59" t="str">
        <f t="shared" si="0"/>
        <v>James Mwesigwa</v>
      </c>
      <c r="E59" s="13" t="s">
        <v>100</v>
      </c>
      <c r="F59" s="13" t="s">
        <v>385</v>
      </c>
      <c r="G59" s="13" t="s">
        <v>386</v>
      </c>
      <c r="H59" s="13" t="s">
        <v>387</v>
      </c>
      <c r="I59" s="13" t="s">
        <v>46</v>
      </c>
      <c r="J59" s="13" t="s">
        <v>209</v>
      </c>
      <c r="K59" s="13">
        <v>339</v>
      </c>
    </row>
    <row r="60" spans="1:11" x14ac:dyDescent="0.25">
      <c r="A60" s="13" t="s">
        <v>388</v>
      </c>
      <c r="B60" s="13" t="s">
        <v>188</v>
      </c>
      <c r="C60" s="13" t="s">
        <v>240</v>
      </c>
      <c r="D60" t="str">
        <f t="shared" si="0"/>
        <v>Sylvia Tendo</v>
      </c>
      <c r="E60" s="13" t="s">
        <v>100</v>
      </c>
      <c r="F60" s="13" t="s">
        <v>389</v>
      </c>
      <c r="G60" s="13" t="s">
        <v>390</v>
      </c>
      <c r="H60" s="13" t="s">
        <v>391</v>
      </c>
      <c r="I60" s="13" t="s">
        <v>33</v>
      </c>
      <c r="J60" s="13" t="s">
        <v>96</v>
      </c>
      <c r="K60" s="13">
        <v>459</v>
      </c>
    </row>
    <row r="61" spans="1:11" x14ac:dyDescent="0.25">
      <c r="A61" s="13" t="s">
        <v>392</v>
      </c>
      <c r="B61" s="13" t="s">
        <v>249</v>
      </c>
      <c r="C61" s="13" t="s">
        <v>393</v>
      </c>
      <c r="D61" t="str">
        <f t="shared" si="0"/>
        <v>Simon Namukasa</v>
      </c>
      <c r="E61" s="13" t="s">
        <v>100</v>
      </c>
      <c r="F61" s="13" t="s">
        <v>394</v>
      </c>
      <c r="G61" s="13" t="s">
        <v>395</v>
      </c>
      <c r="H61" s="13" t="s">
        <v>396</v>
      </c>
      <c r="I61" s="13" t="s">
        <v>33</v>
      </c>
      <c r="J61" s="13" t="s">
        <v>209</v>
      </c>
      <c r="K61" s="13">
        <v>449</v>
      </c>
    </row>
    <row r="62" spans="1:11" x14ac:dyDescent="0.25">
      <c r="A62" s="13" t="s">
        <v>397</v>
      </c>
      <c r="B62" s="13" t="s">
        <v>398</v>
      </c>
      <c r="C62" s="13" t="s">
        <v>218</v>
      </c>
      <c r="D62" t="str">
        <f t="shared" si="0"/>
        <v>Jackline Kabugo</v>
      </c>
      <c r="E62" s="13" t="s">
        <v>100</v>
      </c>
      <c r="F62" s="13" t="s">
        <v>399</v>
      </c>
      <c r="G62" s="13" t="s">
        <v>400</v>
      </c>
      <c r="H62" s="13" t="s">
        <v>401</v>
      </c>
      <c r="I62" s="13" t="s">
        <v>60</v>
      </c>
      <c r="J62" s="13" t="s">
        <v>111</v>
      </c>
      <c r="K62" s="13">
        <v>627</v>
      </c>
    </row>
    <row r="63" spans="1:11" x14ac:dyDescent="0.25">
      <c r="A63" s="13" t="s">
        <v>402</v>
      </c>
      <c r="B63" s="13" t="s">
        <v>227</v>
      </c>
      <c r="C63" s="13" t="s">
        <v>362</v>
      </c>
      <c r="D63" t="str">
        <f t="shared" si="0"/>
        <v>Christine Lunkuse</v>
      </c>
      <c r="E63" s="13" t="s">
        <v>92</v>
      </c>
      <c r="F63" s="13" t="s">
        <v>403</v>
      </c>
      <c r="G63" s="13" t="s">
        <v>404</v>
      </c>
      <c r="H63" s="13" t="s">
        <v>405</v>
      </c>
      <c r="I63" s="13" t="s">
        <v>67</v>
      </c>
      <c r="J63" s="13" t="s">
        <v>96</v>
      </c>
      <c r="K63" s="13">
        <v>332</v>
      </c>
    </row>
    <row r="64" spans="1:11" x14ac:dyDescent="0.25">
      <c r="A64" s="13" t="s">
        <v>406</v>
      </c>
      <c r="B64" s="13" t="s">
        <v>407</v>
      </c>
      <c r="C64" s="13" t="s">
        <v>274</v>
      </c>
      <c r="D64" t="str">
        <f t="shared" si="0"/>
        <v>Francis Mugerwa</v>
      </c>
      <c r="E64" s="13" t="s">
        <v>92</v>
      </c>
      <c r="F64" s="13" t="s">
        <v>408</v>
      </c>
      <c r="G64" s="13" t="s">
        <v>409</v>
      </c>
      <c r="H64" s="13" t="s">
        <v>410</v>
      </c>
      <c r="I64" s="13" t="s">
        <v>60</v>
      </c>
      <c r="J64" s="13" t="s">
        <v>96</v>
      </c>
      <c r="K64" s="13">
        <v>689</v>
      </c>
    </row>
    <row r="65" spans="1:11" x14ac:dyDescent="0.25">
      <c r="A65" s="13" t="s">
        <v>411</v>
      </c>
      <c r="B65" s="13" t="s">
        <v>113</v>
      </c>
      <c r="C65" s="13" t="s">
        <v>107</v>
      </c>
      <c r="D65" t="str">
        <f t="shared" si="0"/>
        <v>Florence Okello</v>
      </c>
      <c r="E65" s="13" t="s">
        <v>92</v>
      </c>
      <c r="F65" s="13" t="s">
        <v>412</v>
      </c>
      <c r="G65" s="13" t="s">
        <v>413</v>
      </c>
      <c r="H65" s="13" t="s">
        <v>414</v>
      </c>
      <c r="I65" s="13" t="s">
        <v>73</v>
      </c>
      <c r="J65" s="13" t="s">
        <v>118</v>
      </c>
      <c r="K65" s="13">
        <v>670</v>
      </c>
    </row>
    <row r="66" spans="1:11" x14ac:dyDescent="0.25">
      <c r="A66" s="13" t="s">
        <v>415</v>
      </c>
      <c r="B66" s="13" t="s">
        <v>322</v>
      </c>
      <c r="C66" s="13" t="s">
        <v>178</v>
      </c>
      <c r="D66" t="str">
        <f t="shared" si="0"/>
        <v>Irene Awori</v>
      </c>
      <c r="E66" s="13" t="s">
        <v>100</v>
      </c>
      <c r="F66" s="13" t="s">
        <v>416</v>
      </c>
      <c r="G66" s="13" t="s">
        <v>417</v>
      </c>
      <c r="H66" s="13" t="s">
        <v>418</v>
      </c>
      <c r="I66" s="13" t="s">
        <v>25</v>
      </c>
      <c r="J66" s="13" t="s">
        <v>209</v>
      </c>
      <c r="K66" s="13">
        <v>784</v>
      </c>
    </row>
    <row r="67" spans="1:11" x14ac:dyDescent="0.25">
      <c r="A67" s="13" t="s">
        <v>419</v>
      </c>
      <c r="B67" s="13" t="s">
        <v>420</v>
      </c>
      <c r="C67" s="13" t="s">
        <v>99</v>
      </c>
      <c r="D67" t="str">
        <f t="shared" ref="D67:D121" si="1">PROPER(_xlfn.TEXTJOIN(" ", TRUE, B67, C67))</f>
        <v>Kenneth Musoke</v>
      </c>
      <c r="E67" s="13" t="s">
        <v>100</v>
      </c>
      <c r="F67" s="13" t="s">
        <v>421</v>
      </c>
      <c r="G67" s="13" t="s">
        <v>422</v>
      </c>
      <c r="H67" s="13" t="s">
        <v>423</v>
      </c>
      <c r="I67" s="13" t="s">
        <v>73</v>
      </c>
      <c r="J67" s="13" t="s">
        <v>111</v>
      </c>
      <c r="K67" s="13">
        <v>355</v>
      </c>
    </row>
    <row r="68" spans="1:11" x14ac:dyDescent="0.25">
      <c r="A68" s="13" t="s">
        <v>424</v>
      </c>
      <c r="B68" s="13" t="s">
        <v>98</v>
      </c>
      <c r="C68" s="13" t="s">
        <v>99</v>
      </c>
      <c r="D68" t="str">
        <f t="shared" si="1"/>
        <v>Sarah Musoke</v>
      </c>
      <c r="E68" s="13" t="s">
        <v>92</v>
      </c>
      <c r="F68" s="13" t="s">
        <v>425</v>
      </c>
      <c r="G68" s="13" t="s">
        <v>426</v>
      </c>
      <c r="H68" s="13" t="s">
        <v>427</v>
      </c>
      <c r="I68" s="13" t="s">
        <v>73</v>
      </c>
      <c r="J68" s="13" t="s">
        <v>111</v>
      </c>
      <c r="K68" s="13">
        <v>323</v>
      </c>
    </row>
    <row r="69" spans="1:11" x14ac:dyDescent="0.25">
      <c r="A69" s="13" t="s">
        <v>428</v>
      </c>
      <c r="B69" s="13" t="s">
        <v>407</v>
      </c>
      <c r="C69" s="13" t="s">
        <v>212</v>
      </c>
      <c r="D69" t="str">
        <f t="shared" si="1"/>
        <v>Francis Muhwezi</v>
      </c>
      <c r="E69" s="13" t="s">
        <v>92</v>
      </c>
      <c r="F69" s="13" t="s">
        <v>429</v>
      </c>
      <c r="G69" s="13" t="s">
        <v>430</v>
      </c>
      <c r="H69" s="13" t="s">
        <v>431</v>
      </c>
      <c r="I69" s="13" t="s">
        <v>46</v>
      </c>
      <c r="J69" s="13" t="s">
        <v>209</v>
      </c>
      <c r="K69" s="13">
        <v>576</v>
      </c>
    </row>
    <row r="70" spans="1:11" x14ac:dyDescent="0.25">
      <c r="A70" s="13" t="s">
        <v>432</v>
      </c>
      <c r="B70" s="13" t="s">
        <v>420</v>
      </c>
      <c r="C70" s="13" t="s">
        <v>302</v>
      </c>
      <c r="D70" t="str">
        <f t="shared" si="1"/>
        <v>Kenneth Tumwine</v>
      </c>
      <c r="E70" s="13" t="s">
        <v>100</v>
      </c>
      <c r="F70" s="13" t="s">
        <v>433</v>
      </c>
      <c r="G70" s="13" t="s">
        <v>434</v>
      </c>
      <c r="H70" s="13" t="s">
        <v>435</v>
      </c>
      <c r="I70" s="13" t="s">
        <v>73</v>
      </c>
      <c r="J70" s="13" t="s">
        <v>104</v>
      </c>
      <c r="K70" s="13">
        <v>480</v>
      </c>
    </row>
    <row r="71" spans="1:11" x14ac:dyDescent="0.25">
      <c r="A71" s="13" t="s">
        <v>436</v>
      </c>
      <c r="B71" s="13" t="s">
        <v>106</v>
      </c>
      <c r="C71" s="13" t="s">
        <v>367</v>
      </c>
      <c r="D71" t="str">
        <f t="shared" si="1"/>
        <v>Stephen Mwesigwa</v>
      </c>
      <c r="E71" s="13" t="s">
        <v>92</v>
      </c>
      <c r="F71" s="13" t="s">
        <v>437</v>
      </c>
      <c r="G71" s="13" t="s">
        <v>438</v>
      </c>
      <c r="H71" s="13" t="s">
        <v>439</v>
      </c>
      <c r="I71" s="13" t="s">
        <v>39</v>
      </c>
      <c r="J71" s="13" t="s">
        <v>118</v>
      </c>
      <c r="K71" s="13">
        <v>445</v>
      </c>
    </row>
    <row r="72" spans="1:11" x14ac:dyDescent="0.25">
      <c r="A72" s="13" t="s">
        <v>440</v>
      </c>
      <c r="B72" s="13" t="s">
        <v>441</v>
      </c>
      <c r="C72" s="13" t="s">
        <v>279</v>
      </c>
      <c r="D72" t="str">
        <f t="shared" si="1"/>
        <v>David Nakato</v>
      </c>
      <c r="E72" s="13" t="s">
        <v>92</v>
      </c>
      <c r="F72" s="13" t="s">
        <v>442</v>
      </c>
      <c r="G72" s="13" t="s">
        <v>443</v>
      </c>
      <c r="H72" s="13" t="s">
        <v>444</v>
      </c>
      <c r="I72" s="13" t="s">
        <v>53</v>
      </c>
      <c r="J72" s="13" t="s">
        <v>118</v>
      </c>
      <c r="K72" s="13">
        <v>580</v>
      </c>
    </row>
    <row r="73" spans="1:11" x14ac:dyDescent="0.25">
      <c r="A73" s="13" t="s">
        <v>445</v>
      </c>
      <c r="B73" s="13" t="s">
        <v>188</v>
      </c>
      <c r="C73" s="13" t="s">
        <v>194</v>
      </c>
      <c r="D73" t="str">
        <f t="shared" si="1"/>
        <v>Sylvia Ochieng</v>
      </c>
      <c r="E73" s="13" t="s">
        <v>92</v>
      </c>
      <c r="F73" s="13" t="s">
        <v>446</v>
      </c>
      <c r="G73" s="13" t="s">
        <v>447</v>
      </c>
      <c r="H73" s="13" t="s">
        <v>448</v>
      </c>
      <c r="I73" s="13" t="s">
        <v>67</v>
      </c>
      <c r="J73" s="13" t="s">
        <v>209</v>
      </c>
      <c r="K73" s="13">
        <v>383</v>
      </c>
    </row>
    <row r="74" spans="1:11" x14ac:dyDescent="0.25">
      <c r="A74" s="13" t="s">
        <v>449</v>
      </c>
      <c r="B74" s="13" t="s">
        <v>199</v>
      </c>
      <c r="C74" s="13" t="s">
        <v>144</v>
      </c>
      <c r="D74" t="str">
        <f t="shared" si="1"/>
        <v>James Kibuuka</v>
      </c>
      <c r="E74" s="13" t="s">
        <v>100</v>
      </c>
      <c r="F74" s="13" t="s">
        <v>450</v>
      </c>
      <c r="G74" s="13" t="s">
        <v>451</v>
      </c>
      <c r="H74" s="13" t="s">
        <v>452</v>
      </c>
      <c r="I74" s="13" t="s">
        <v>33</v>
      </c>
      <c r="J74" s="13" t="s">
        <v>104</v>
      </c>
      <c r="K74" s="13">
        <v>762</v>
      </c>
    </row>
    <row r="75" spans="1:11" x14ac:dyDescent="0.25">
      <c r="A75" s="13" t="s">
        <v>453</v>
      </c>
      <c r="B75" s="13" t="s">
        <v>227</v>
      </c>
      <c r="C75" s="13" t="s">
        <v>323</v>
      </c>
      <c r="D75" t="str">
        <f t="shared" si="1"/>
        <v>Christine Nsubuga</v>
      </c>
      <c r="E75" s="13" t="s">
        <v>100</v>
      </c>
      <c r="F75" s="13" t="s">
        <v>454</v>
      </c>
      <c r="G75" s="13" t="s">
        <v>455</v>
      </c>
      <c r="H75" s="13" t="s">
        <v>456</v>
      </c>
      <c r="I75" s="13" t="s">
        <v>53</v>
      </c>
      <c r="J75" s="13" t="s">
        <v>209</v>
      </c>
      <c r="K75" s="13">
        <v>837</v>
      </c>
    </row>
    <row r="76" spans="1:11" x14ac:dyDescent="0.25">
      <c r="A76" s="13" t="s">
        <v>457</v>
      </c>
      <c r="B76" s="13" t="s">
        <v>458</v>
      </c>
      <c r="C76" s="13" t="s">
        <v>279</v>
      </c>
      <c r="D76" t="str">
        <f t="shared" si="1"/>
        <v>Richard Nakato</v>
      </c>
      <c r="E76" s="13" t="s">
        <v>100</v>
      </c>
      <c r="F76" s="13" t="s">
        <v>459</v>
      </c>
      <c r="G76" s="13" t="s">
        <v>460</v>
      </c>
      <c r="H76" s="13" t="s">
        <v>461</v>
      </c>
      <c r="I76" s="13" t="s">
        <v>46</v>
      </c>
      <c r="J76" s="13" t="s">
        <v>111</v>
      </c>
      <c r="K76" s="13">
        <v>565</v>
      </c>
    </row>
    <row r="77" spans="1:11" x14ac:dyDescent="0.25">
      <c r="A77" s="13" t="s">
        <v>462</v>
      </c>
      <c r="B77" s="13" t="s">
        <v>137</v>
      </c>
      <c r="C77" s="13" t="s">
        <v>99</v>
      </c>
      <c r="D77" t="str">
        <f t="shared" si="1"/>
        <v>George Musoke</v>
      </c>
      <c r="E77" s="13" t="s">
        <v>100</v>
      </c>
      <c r="F77" s="13" t="s">
        <v>463</v>
      </c>
      <c r="G77" s="13" t="s">
        <v>464</v>
      </c>
      <c r="H77" s="13" t="s">
        <v>465</v>
      </c>
      <c r="I77" s="13" t="s">
        <v>46</v>
      </c>
      <c r="J77" s="13" t="s">
        <v>111</v>
      </c>
      <c r="K77" s="13">
        <v>355</v>
      </c>
    </row>
    <row r="78" spans="1:11" x14ac:dyDescent="0.25">
      <c r="A78" s="13" t="s">
        <v>466</v>
      </c>
      <c r="B78" s="13" t="s">
        <v>166</v>
      </c>
      <c r="C78" s="13" t="s">
        <v>132</v>
      </c>
      <c r="D78" t="str">
        <f t="shared" si="1"/>
        <v>Esther Nanteza</v>
      </c>
      <c r="E78" s="13" t="s">
        <v>92</v>
      </c>
      <c r="F78" s="13" t="s">
        <v>467</v>
      </c>
      <c r="G78" s="13" t="s">
        <v>468</v>
      </c>
      <c r="H78" s="13" t="s">
        <v>469</v>
      </c>
      <c r="I78" s="13" t="s">
        <v>67</v>
      </c>
      <c r="J78" s="13" t="s">
        <v>118</v>
      </c>
      <c r="K78" s="13">
        <v>738</v>
      </c>
    </row>
    <row r="79" spans="1:11" x14ac:dyDescent="0.25">
      <c r="A79" s="13" t="s">
        <v>470</v>
      </c>
      <c r="B79" s="13" t="s">
        <v>258</v>
      </c>
      <c r="C79" s="13" t="s">
        <v>138</v>
      </c>
      <c r="D79" t="str">
        <f t="shared" si="1"/>
        <v>Phionah Atim</v>
      </c>
      <c r="E79" s="13" t="s">
        <v>100</v>
      </c>
      <c r="F79" s="13" t="s">
        <v>471</v>
      </c>
      <c r="G79" s="13" t="s">
        <v>472</v>
      </c>
      <c r="H79" s="13" t="s">
        <v>473</v>
      </c>
      <c r="I79" s="13" t="s">
        <v>73</v>
      </c>
      <c r="J79" s="13" t="s">
        <v>104</v>
      </c>
      <c r="K79" s="13">
        <v>604</v>
      </c>
    </row>
    <row r="80" spans="1:11" x14ac:dyDescent="0.25">
      <c r="A80" s="13" t="s">
        <v>474</v>
      </c>
      <c r="B80" s="13" t="s">
        <v>160</v>
      </c>
      <c r="C80" s="13" t="s">
        <v>132</v>
      </c>
      <c r="D80" t="str">
        <f t="shared" si="1"/>
        <v>Peter Nanteza</v>
      </c>
      <c r="E80" s="13" t="s">
        <v>92</v>
      </c>
      <c r="F80" s="13" t="s">
        <v>475</v>
      </c>
      <c r="G80" s="13" t="s">
        <v>476</v>
      </c>
      <c r="H80" s="13" t="s">
        <v>477</v>
      </c>
      <c r="I80" s="13" t="s">
        <v>33</v>
      </c>
      <c r="J80" s="13" t="s">
        <v>111</v>
      </c>
      <c r="K80" s="13">
        <v>503</v>
      </c>
    </row>
    <row r="81" spans="1:11" x14ac:dyDescent="0.25">
      <c r="A81" s="13" t="s">
        <v>478</v>
      </c>
      <c r="B81" s="13" t="s">
        <v>441</v>
      </c>
      <c r="C81" s="13" t="s">
        <v>263</v>
      </c>
      <c r="D81" t="str">
        <f t="shared" si="1"/>
        <v>David Tusiime</v>
      </c>
      <c r="E81" s="13" t="s">
        <v>92</v>
      </c>
      <c r="F81" s="13" t="s">
        <v>479</v>
      </c>
      <c r="G81" s="13" t="s">
        <v>480</v>
      </c>
      <c r="H81" s="13" t="s">
        <v>481</v>
      </c>
      <c r="I81" s="13" t="s">
        <v>53</v>
      </c>
      <c r="J81" s="13" t="s">
        <v>104</v>
      </c>
      <c r="K81" s="13">
        <v>729</v>
      </c>
    </row>
    <row r="82" spans="1:11" x14ac:dyDescent="0.25">
      <c r="A82" s="13" t="s">
        <v>482</v>
      </c>
      <c r="B82" s="13" t="s">
        <v>441</v>
      </c>
      <c r="C82" s="13" t="s">
        <v>367</v>
      </c>
      <c r="D82" t="str">
        <f t="shared" si="1"/>
        <v>David Mwesigwa</v>
      </c>
      <c r="E82" s="13" t="s">
        <v>100</v>
      </c>
      <c r="F82" s="13" t="s">
        <v>483</v>
      </c>
      <c r="G82" s="13" t="s">
        <v>484</v>
      </c>
      <c r="H82" s="13" t="s">
        <v>485</v>
      </c>
      <c r="I82" s="13" t="s">
        <v>73</v>
      </c>
      <c r="J82" s="13" t="s">
        <v>209</v>
      </c>
      <c r="K82" s="13">
        <v>786</v>
      </c>
    </row>
    <row r="83" spans="1:11" x14ac:dyDescent="0.25">
      <c r="A83" s="13" t="s">
        <v>486</v>
      </c>
      <c r="B83" s="13" t="s">
        <v>188</v>
      </c>
      <c r="C83" s="13" t="s">
        <v>212</v>
      </c>
      <c r="D83" t="str">
        <f t="shared" si="1"/>
        <v>Sylvia Muhwezi</v>
      </c>
      <c r="E83" s="13" t="s">
        <v>92</v>
      </c>
      <c r="F83" s="13" t="s">
        <v>487</v>
      </c>
      <c r="G83" s="13" t="s">
        <v>488</v>
      </c>
      <c r="H83" s="13" t="s">
        <v>489</v>
      </c>
      <c r="I83" s="13" t="s">
        <v>73</v>
      </c>
      <c r="J83" s="13" t="s">
        <v>96</v>
      </c>
      <c r="K83" s="13">
        <v>464</v>
      </c>
    </row>
    <row r="84" spans="1:11" x14ac:dyDescent="0.25">
      <c r="A84" s="13" t="s">
        <v>490</v>
      </c>
      <c r="B84" s="13" t="s">
        <v>372</v>
      </c>
      <c r="C84" s="13" t="s">
        <v>362</v>
      </c>
      <c r="D84" t="str">
        <f t="shared" si="1"/>
        <v>John Lunkuse</v>
      </c>
      <c r="E84" s="13" t="s">
        <v>100</v>
      </c>
      <c r="F84" s="13" t="s">
        <v>491</v>
      </c>
      <c r="G84" s="13" t="s">
        <v>492</v>
      </c>
      <c r="H84" s="13" t="s">
        <v>493</v>
      </c>
      <c r="I84" s="13" t="s">
        <v>25</v>
      </c>
      <c r="J84" s="13" t="s">
        <v>209</v>
      </c>
      <c r="K84" s="13">
        <v>663</v>
      </c>
    </row>
    <row r="85" spans="1:11" x14ac:dyDescent="0.25">
      <c r="A85" s="13" t="s">
        <v>494</v>
      </c>
      <c r="B85" s="13" t="s">
        <v>258</v>
      </c>
      <c r="C85" s="13" t="s">
        <v>194</v>
      </c>
      <c r="D85" t="str">
        <f t="shared" si="1"/>
        <v>Phionah Ochieng</v>
      </c>
      <c r="E85" s="13" t="s">
        <v>92</v>
      </c>
      <c r="F85" s="13" t="s">
        <v>495</v>
      </c>
      <c r="G85" s="13" t="s">
        <v>496</v>
      </c>
      <c r="H85" s="13" t="s">
        <v>497</v>
      </c>
      <c r="I85" s="13" t="s">
        <v>25</v>
      </c>
      <c r="J85" s="13" t="s">
        <v>96</v>
      </c>
      <c r="K85" s="13">
        <v>698</v>
      </c>
    </row>
    <row r="86" spans="1:11" x14ac:dyDescent="0.25">
      <c r="A86" s="13" t="s">
        <v>498</v>
      </c>
      <c r="B86" s="13" t="s">
        <v>131</v>
      </c>
      <c r="C86" s="13" t="s">
        <v>120</v>
      </c>
      <c r="D86" t="str">
        <f t="shared" si="1"/>
        <v>Joseph Nalweyiso</v>
      </c>
      <c r="E86" s="13" t="s">
        <v>100</v>
      </c>
      <c r="F86" s="13" t="s">
        <v>499</v>
      </c>
      <c r="G86" s="13" t="s">
        <v>500</v>
      </c>
      <c r="H86" s="13" t="s">
        <v>501</v>
      </c>
      <c r="I86" s="13" t="s">
        <v>39</v>
      </c>
      <c r="J86" s="13" t="s">
        <v>118</v>
      </c>
      <c r="K86" s="13">
        <v>503</v>
      </c>
    </row>
    <row r="87" spans="1:11" x14ac:dyDescent="0.25">
      <c r="A87" s="13" t="s">
        <v>502</v>
      </c>
      <c r="B87" s="13" t="s">
        <v>137</v>
      </c>
      <c r="C87" s="13" t="s">
        <v>91</v>
      </c>
      <c r="D87" t="str">
        <f t="shared" si="1"/>
        <v>George Kato</v>
      </c>
      <c r="E87" s="13" t="s">
        <v>92</v>
      </c>
      <c r="F87" s="13" t="s">
        <v>503</v>
      </c>
      <c r="G87" s="13" t="s">
        <v>504</v>
      </c>
      <c r="H87" s="13" t="s">
        <v>505</v>
      </c>
      <c r="I87" s="13" t="s">
        <v>39</v>
      </c>
      <c r="J87" s="13" t="s">
        <v>118</v>
      </c>
      <c r="K87" s="13">
        <v>448</v>
      </c>
    </row>
    <row r="88" spans="1:11" x14ac:dyDescent="0.25">
      <c r="A88" s="13" t="s">
        <v>506</v>
      </c>
      <c r="B88" s="13" t="s">
        <v>166</v>
      </c>
      <c r="C88" s="13" t="s">
        <v>161</v>
      </c>
      <c r="D88" t="str">
        <f t="shared" si="1"/>
        <v>Esther Ssemwogerere</v>
      </c>
      <c r="E88" s="13" t="s">
        <v>92</v>
      </c>
      <c r="F88" s="13" t="s">
        <v>507</v>
      </c>
      <c r="G88" s="13" t="s">
        <v>508</v>
      </c>
      <c r="H88" s="13" t="s">
        <v>509</v>
      </c>
      <c r="I88" s="13" t="s">
        <v>67</v>
      </c>
      <c r="J88" s="13" t="s">
        <v>104</v>
      </c>
      <c r="K88" s="13">
        <v>624</v>
      </c>
    </row>
    <row r="89" spans="1:11" x14ac:dyDescent="0.25">
      <c r="A89" s="13" t="s">
        <v>510</v>
      </c>
      <c r="B89" s="13" t="s">
        <v>398</v>
      </c>
      <c r="C89" s="13" t="s">
        <v>161</v>
      </c>
      <c r="D89" t="str">
        <f t="shared" si="1"/>
        <v>Jackline Ssemwogerere</v>
      </c>
      <c r="E89" s="13" t="s">
        <v>100</v>
      </c>
      <c r="F89" s="13" t="s">
        <v>511</v>
      </c>
      <c r="G89" s="13" t="s">
        <v>512</v>
      </c>
      <c r="H89" s="13" t="s">
        <v>513</v>
      </c>
      <c r="I89" s="13" t="s">
        <v>53</v>
      </c>
      <c r="J89" s="13" t="s">
        <v>118</v>
      </c>
      <c r="K89" s="13">
        <v>454</v>
      </c>
    </row>
    <row r="90" spans="1:11" x14ac:dyDescent="0.25">
      <c r="A90" s="13" t="s">
        <v>514</v>
      </c>
      <c r="B90" s="13" t="s">
        <v>166</v>
      </c>
      <c r="C90" s="13" t="s">
        <v>150</v>
      </c>
      <c r="D90" t="str">
        <f t="shared" si="1"/>
        <v>Esther Kalinda</v>
      </c>
      <c r="E90" s="13" t="s">
        <v>92</v>
      </c>
      <c r="F90" s="13" t="s">
        <v>515</v>
      </c>
      <c r="G90" s="13" t="s">
        <v>516</v>
      </c>
      <c r="H90" s="13" t="s">
        <v>517</v>
      </c>
      <c r="I90" s="13" t="s">
        <v>60</v>
      </c>
      <c r="J90" s="13" t="s">
        <v>209</v>
      </c>
      <c r="K90" s="13">
        <v>451</v>
      </c>
    </row>
    <row r="91" spans="1:11" x14ac:dyDescent="0.25">
      <c r="A91" s="13" t="s">
        <v>518</v>
      </c>
      <c r="B91" s="13" t="s">
        <v>258</v>
      </c>
      <c r="C91" s="13" t="s">
        <v>114</v>
      </c>
      <c r="D91" t="str">
        <f t="shared" si="1"/>
        <v>Phionah Kyambadde</v>
      </c>
      <c r="E91" s="13" t="s">
        <v>92</v>
      </c>
      <c r="F91" s="13" t="s">
        <v>519</v>
      </c>
      <c r="G91" s="13" t="s">
        <v>520</v>
      </c>
      <c r="H91" s="13" t="s">
        <v>521</v>
      </c>
      <c r="I91" s="13" t="s">
        <v>67</v>
      </c>
      <c r="J91" s="13" t="s">
        <v>209</v>
      </c>
      <c r="K91" s="13">
        <v>624</v>
      </c>
    </row>
    <row r="92" spans="1:11" x14ac:dyDescent="0.25">
      <c r="A92" s="13" t="s">
        <v>522</v>
      </c>
      <c r="B92" s="13" t="s">
        <v>177</v>
      </c>
      <c r="C92" s="13" t="s">
        <v>150</v>
      </c>
      <c r="D92" t="str">
        <f t="shared" si="1"/>
        <v>Agnes Kalinda</v>
      </c>
      <c r="E92" s="13" t="s">
        <v>92</v>
      </c>
      <c r="F92" s="13" t="s">
        <v>523</v>
      </c>
      <c r="G92" s="13" t="s">
        <v>524</v>
      </c>
      <c r="H92" s="13" t="s">
        <v>525</v>
      </c>
      <c r="I92" s="13" t="s">
        <v>73</v>
      </c>
      <c r="J92" s="13" t="s">
        <v>118</v>
      </c>
      <c r="K92" s="13">
        <v>716</v>
      </c>
    </row>
    <row r="93" spans="1:11" x14ac:dyDescent="0.25">
      <c r="A93" s="13" t="s">
        <v>526</v>
      </c>
      <c r="B93" s="13" t="s">
        <v>273</v>
      </c>
      <c r="C93" s="13" t="s">
        <v>161</v>
      </c>
      <c r="D93" t="str">
        <f t="shared" si="1"/>
        <v>Henry Ssemwogerere</v>
      </c>
      <c r="E93" s="13" t="s">
        <v>92</v>
      </c>
      <c r="F93" s="13" t="s">
        <v>527</v>
      </c>
      <c r="G93" s="13" t="s">
        <v>528</v>
      </c>
      <c r="H93" s="13" t="s">
        <v>529</v>
      </c>
      <c r="I93" s="13" t="s">
        <v>67</v>
      </c>
      <c r="J93" s="13" t="s">
        <v>104</v>
      </c>
      <c r="K93" s="13">
        <v>833</v>
      </c>
    </row>
    <row r="94" spans="1:11" x14ac:dyDescent="0.25">
      <c r="A94" s="13" t="s">
        <v>530</v>
      </c>
      <c r="B94" s="13" t="s">
        <v>531</v>
      </c>
      <c r="C94" s="13" t="s">
        <v>99</v>
      </c>
      <c r="D94" t="str">
        <f t="shared" si="1"/>
        <v>Joyce Musoke</v>
      </c>
      <c r="E94" s="13" t="s">
        <v>92</v>
      </c>
      <c r="F94" s="13" t="s">
        <v>532</v>
      </c>
      <c r="G94" s="13" t="s">
        <v>533</v>
      </c>
      <c r="H94" s="13" t="s">
        <v>534</v>
      </c>
      <c r="I94" s="13" t="s">
        <v>60</v>
      </c>
      <c r="J94" s="13" t="s">
        <v>118</v>
      </c>
      <c r="K94" s="13">
        <v>761</v>
      </c>
    </row>
    <row r="95" spans="1:11" x14ac:dyDescent="0.25">
      <c r="A95" s="13" t="s">
        <v>535</v>
      </c>
      <c r="B95" s="13" t="s">
        <v>258</v>
      </c>
      <c r="C95" s="13" t="s">
        <v>114</v>
      </c>
      <c r="D95" t="str">
        <f t="shared" si="1"/>
        <v>Phionah Kyambadde</v>
      </c>
      <c r="E95" s="13" t="s">
        <v>92</v>
      </c>
      <c r="F95" s="13" t="s">
        <v>536</v>
      </c>
      <c r="G95" s="13" t="s">
        <v>537</v>
      </c>
      <c r="H95" s="13" t="s">
        <v>538</v>
      </c>
      <c r="I95" s="13" t="s">
        <v>53</v>
      </c>
      <c r="J95" s="13" t="s">
        <v>111</v>
      </c>
      <c r="K95" s="13">
        <v>760</v>
      </c>
    </row>
    <row r="96" spans="1:11" x14ac:dyDescent="0.25">
      <c r="A96" s="13" t="s">
        <v>539</v>
      </c>
      <c r="B96" s="13" t="s">
        <v>113</v>
      </c>
      <c r="C96" s="13" t="s">
        <v>167</v>
      </c>
      <c r="D96" t="str">
        <f t="shared" si="1"/>
        <v>Florence Nakirya</v>
      </c>
      <c r="E96" s="13" t="s">
        <v>100</v>
      </c>
      <c r="F96" s="13" t="s">
        <v>540</v>
      </c>
      <c r="G96" s="13" t="s">
        <v>541</v>
      </c>
      <c r="H96" s="13" t="s">
        <v>542</v>
      </c>
      <c r="I96" s="13" t="s">
        <v>60</v>
      </c>
      <c r="J96" s="13" t="s">
        <v>96</v>
      </c>
      <c r="K96" s="13">
        <v>399</v>
      </c>
    </row>
    <row r="97" spans="1:11" x14ac:dyDescent="0.25">
      <c r="A97" s="13" t="s">
        <v>543</v>
      </c>
      <c r="B97" s="13" t="s">
        <v>166</v>
      </c>
      <c r="C97" s="13" t="s">
        <v>212</v>
      </c>
      <c r="D97" t="str">
        <f t="shared" si="1"/>
        <v>Esther Muhwezi</v>
      </c>
      <c r="E97" s="13" t="s">
        <v>92</v>
      </c>
      <c r="F97" s="13" t="s">
        <v>544</v>
      </c>
      <c r="G97" s="13" t="s">
        <v>545</v>
      </c>
      <c r="H97" s="13" t="s">
        <v>546</v>
      </c>
      <c r="I97" s="13" t="s">
        <v>39</v>
      </c>
      <c r="J97" s="13" t="s">
        <v>118</v>
      </c>
      <c r="K97" s="13">
        <v>523</v>
      </c>
    </row>
    <row r="98" spans="1:11" x14ac:dyDescent="0.25">
      <c r="A98" s="13" t="s">
        <v>547</v>
      </c>
      <c r="B98" s="13" t="s">
        <v>113</v>
      </c>
      <c r="C98" s="13" t="s">
        <v>323</v>
      </c>
      <c r="D98" t="str">
        <f t="shared" si="1"/>
        <v>Florence Nsubuga</v>
      </c>
      <c r="E98" s="13" t="s">
        <v>92</v>
      </c>
      <c r="F98" s="13" t="s">
        <v>548</v>
      </c>
      <c r="G98" s="13" t="s">
        <v>549</v>
      </c>
      <c r="H98" s="13" t="s">
        <v>550</v>
      </c>
      <c r="I98" s="13" t="s">
        <v>53</v>
      </c>
      <c r="J98" s="13" t="s">
        <v>111</v>
      </c>
      <c r="K98" s="13">
        <v>730</v>
      </c>
    </row>
    <row r="99" spans="1:11" x14ac:dyDescent="0.25">
      <c r="A99" s="13" t="s">
        <v>551</v>
      </c>
      <c r="B99" s="13" t="s">
        <v>268</v>
      </c>
      <c r="C99" s="13" t="s">
        <v>240</v>
      </c>
      <c r="D99" t="str">
        <f t="shared" si="1"/>
        <v>Ruth Tendo</v>
      </c>
      <c r="E99" s="13" t="s">
        <v>100</v>
      </c>
      <c r="F99" s="13" t="s">
        <v>552</v>
      </c>
      <c r="G99" s="13" t="s">
        <v>553</v>
      </c>
      <c r="H99" s="13" t="s">
        <v>554</v>
      </c>
      <c r="I99" s="13" t="s">
        <v>53</v>
      </c>
      <c r="J99" s="13" t="s">
        <v>96</v>
      </c>
      <c r="K99" s="13">
        <v>470</v>
      </c>
    </row>
    <row r="100" spans="1:11" x14ac:dyDescent="0.25">
      <c r="A100" s="13" t="s">
        <v>555</v>
      </c>
      <c r="B100" s="13" t="s">
        <v>211</v>
      </c>
      <c r="C100" s="13" t="s">
        <v>132</v>
      </c>
      <c r="D100" t="str">
        <f t="shared" si="1"/>
        <v>Isaac Nanteza</v>
      </c>
      <c r="E100" s="13" t="s">
        <v>92</v>
      </c>
      <c r="F100" s="13" t="s">
        <v>556</v>
      </c>
      <c r="G100" s="13" t="s">
        <v>557</v>
      </c>
      <c r="H100" s="13" t="s">
        <v>558</v>
      </c>
      <c r="I100" s="13" t="s">
        <v>46</v>
      </c>
      <c r="J100" s="13" t="s">
        <v>96</v>
      </c>
      <c r="K100" s="13">
        <v>686</v>
      </c>
    </row>
    <row r="101" spans="1:11" x14ac:dyDescent="0.25">
      <c r="A101" s="13" t="s">
        <v>559</v>
      </c>
      <c r="B101" s="13" t="s">
        <v>183</v>
      </c>
      <c r="C101" s="13" t="s">
        <v>212</v>
      </c>
      <c r="D101" t="str">
        <f t="shared" si="1"/>
        <v>Annet Muhwezi</v>
      </c>
      <c r="E101" s="13" t="s">
        <v>92</v>
      </c>
      <c r="F101" s="13" t="s">
        <v>560</v>
      </c>
      <c r="G101" s="13" t="s">
        <v>561</v>
      </c>
      <c r="H101" s="13" t="s">
        <v>562</v>
      </c>
      <c r="I101" s="13" t="s">
        <v>25</v>
      </c>
      <c r="J101" s="13" t="s">
        <v>111</v>
      </c>
      <c r="K101" s="13">
        <v>656</v>
      </c>
    </row>
    <row r="102" spans="1:11" x14ac:dyDescent="0.25">
      <c r="A102" s="13" t="s">
        <v>563</v>
      </c>
      <c r="B102" s="13" t="s">
        <v>155</v>
      </c>
      <c r="C102" s="13" t="s">
        <v>323</v>
      </c>
      <c r="D102" t="str">
        <f t="shared" si="1"/>
        <v>Grace Nsubuga</v>
      </c>
      <c r="E102" s="13" t="s">
        <v>92</v>
      </c>
      <c r="F102" s="13" t="s">
        <v>564</v>
      </c>
      <c r="G102" s="13" t="s">
        <v>565</v>
      </c>
      <c r="H102" s="13" t="s">
        <v>566</v>
      </c>
      <c r="I102" s="13" t="s">
        <v>53</v>
      </c>
      <c r="J102" s="13" t="s">
        <v>111</v>
      </c>
      <c r="K102" s="13">
        <v>495</v>
      </c>
    </row>
    <row r="103" spans="1:11" x14ac:dyDescent="0.25">
      <c r="A103" s="13" t="s">
        <v>567</v>
      </c>
      <c r="B103" s="13" t="s">
        <v>273</v>
      </c>
      <c r="C103" s="13" t="s">
        <v>274</v>
      </c>
      <c r="D103" t="str">
        <f t="shared" si="1"/>
        <v>Henry Mugerwa</v>
      </c>
      <c r="E103" s="13" t="s">
        <v>100</v>
      </c>
      <c r="F103" s="13" t="s">
        <v>568</v>
      </c>
      <c r="G103" s="13" t="s">
        <v>569</v>
      </c>
      <c r="H103" s="13" t="s">
        <v>570</v>
      </c>
      <c r="I103" s="13" t="s">
        <v>39</v>
      </c>
      <c r="J103" s="13" t="s">
        <v>96</v>
      </c>
      <c r="K103" s="13">
        <v>314</v>
      </c>
    </row>
    <row r="104" spans="1:11" x14ac:dyDescent="0.25">
      <c r="A104" s="13" t="s">
        <v>571</v>
      </c>
      <c r="B104" s="13" t="s">
        <v>166</v>
      </c>
      <c r="C104" s="13" t="s">
        <v>302</v>
      </c>
      <c r="D104" t="str">
        <f t="shared" si="1"/>
        <v>Esther Tumwine</v>
      </c>
      <c r="E104" s="13" t="s">
        <v>92</v>
      </c>
      <c r="F104" s="13" t="s">
        <v>572</v>
      </c>
      <c r="G104" s="13" t="s">
        <v>573</v>
      </c>
      <c r="H104" s="13" t="s">
        <v>574</v>
      </c>
      <c r="I104" s="13" t="s">
        <v>53</v>
      </c>
      <c r="J104" s="13" t="s">
        <v>104</v>
      </c>
      <c r="K104" s="13">
        <v>672</v>
      </c>
    </row>
    <row r="105" spans="1:11" x14ac:dyDescent="0.25">
      <c r="A105" s="13" t="s">
        <v>575</v>
      </c>
      <c r="B105" s="13" t="s">
        <v>268</v>
      </c>
      <c r="C105" s="13" t="s">
        <v>362</v>
      </c>
      <c r="D105" t="str">
        <f t="shared" si="1"/>
        <v>Ruth Lunkuse</v>
      </c>
      <c r="E105" s="13" t="s">
        <v>92</v>
      </c>
      <c r="F105" s="13" t="s">
        <v>576</v>
      </c>
      <c r="G105" s="13" t="s">
        <v>577</v>
      </c>
      <c r="H105" s="13" t="s">
        <v>578</v>
      </c>
      <c r="I105" s="13" t="s">
        <v>46</v>
      </c>
      <c r="J105" s="13" t="s">
        <v>118</v>
      </c>
      <c r="K105" s="13">
        <v>609</v>
      </c>
    </row>
    <row r="106" spans="1:11" x14ac:dyDescent="0.25">
      <c r="A106" s="13" t="s">
        <v>579</v>
      </c>
      <c r="B106" s="13" t="s">
        <v>372</v>
      </c>
      <c r="C106" s="13" t="s">
        <v>126</v>
      </c>
      <c r="D106" t="str">
        <f t="shared" si="1"/>
        <v>John Ssekandi</v>
      </c>
      <c r="E106" s="13" t="s">
        <v>92</v>
      </c>
      <c r="F106" s="13" t="s">
        <v>580</v>
      </c>
      <c r="G106" s="13" t="s">
        <v>581</v>
      </c>
      <c r="H106" s="13" t="s">
        <v>582</v>
      </c>
      <c r="I106" s="13" t="s">
        <v>53</v>
      </c>
      <c r="J106" s="13" t="s">
        <v>104</v>
      </c>
      <c r="K106" s="13">
        <v>814</v>
      </c>
    </row>
    <row r="107" spans="1:11" x14ac:dyDescent="0.25">
      <c r="A107" s="13" t="s">
        <v>583</v>
      </c>
      <c r="B107" s="13" t="s">
        <v>293</v>
      </c>
      <c r="C107" s="13" t="s">
        <v>362</v>
      </c>
      <c r="D107" t="str">
        <f t="shared" si="1"/>
        <v>Elizabeth Lunkuse</v>
      </c>
      <c r="E107" s="13" t="s">
        <v>92</v>
      </c>
      <c r="F107" s="13" t="s">
        <v>584</v>
      </c>
      <c r="G107" s="13" t="s">
        <v>585</v>
      </c>
      <c r="H107" s="13" t="s">
        <v>586</v>
      </c>
      <c r="I107" s="13" t="s">
        <v>46</v>
      </c>
      <c r="J107" s="13" t="s">
        <v>118</v>
      </c>
      <c r="K107" s="13">
        <v>811</v>
      </c>
    </row>
    <row r="108" spans="1:11" x14ac:dyDescent="0.25">
      <c r="A108" s="13" t="s">
        <v>587</v>
      </c>
      <c r="B108" s="13" t="s">
        <v>199</v>
      </c>
      <c r="C108" s="13" t="s">
        <v>274</v>
      </c>
      <c r="D108" t="str">
        <f t="shared" si="1"/>
        <v>James Mugerwa</v>
      </c>
      <c r="E108" s="13" t="s">
        <v>92</v>
      </c>
      <c r="F108" s="13" t="s">
        <v>588</v>
      </c>
      <c r="G108" s="13" t="s">
        <v>589</v>
      </c>
      <c r="H108" s="13" t="s">
        <v>590</v>
      </c>
      <c r="I108" s="13" t="s">
        <v>53</v>
      </c>
      <c r="J108" s="13" t="s">
        <v>209</v>
      </c>
      <c r="K108" s="13">
        <v>723</v>
      </c>
    </row>
    <row r="109" spans="1:11" x14ac:dyDescent="0.25">
      <c r="A109" s="13" t="s">
        <v>591</v>
      </c>
      <c r="B109" s="13" t="s">
        <v>90</v>
      </c>
      <c r="C109" s="13" t="s">
        <v>393</v>
      </c>
      <c r="D109" t="str">
        <f t="shared" si="1"/>
        <v>Patricia Namukasa</v>
      </c>
      <c r="E109" s="13" t="s">
        <v>100</v>
      </c>
      <c r="F109" s="13" t="s">
        <v>592</v>
      </c>
      <c r="G109" s="13" t="s">
        <v>593</v>
      </c>
      <c r="H109" s="13" t="s">
        <v>594</v>
      </c>
      <c r="I109" s="13" t="s">
        <v>39</v>
      </c>
      <c r="J109" s="13" t="s">
        <v>209</v>
      </c>
      <c r="K109" s="13">
        <v>660</v>
      </c>
    </row>
    <row r="110" spans="1:11" x14ac:dyDescent="0.25">
      <c r="A110" s="13" t="s">
        <v>595</v>
      </c>
      <c r="B110" s="13" t="s">
        <v>172</v>
      </c>
      <c r="C110" s="13" t="s">
        <v>362</v>
      </c>
      <c r="D110" t="str">
        <f t="shared" si="1"/>
        <v>Robert Lunkuse</v>
      </c>
      <c r="E110" s="13" t="s">
        <v>92</v>
      </c>
      <c r="F110" s="13" t="s">
        <v>596</v>
      </c>
      <c r="G110" s="13" t="s">
        <v>597</v>
      </c>
      <c r="H110" s="13" t="s">
        <v>598</v>
      </c>
      <c r="I110" s="13" t="s">
        <v>46</v>
      </c>
      <c r="J110" s="13" t="s">
        <v>104</v>
      </c>
      <c r="K110" s="13">
        <v>736</v>
      </c>
    </row>
    <row r="111" spans="1:11" x14ac:dyDescent="0.25">
      <c r="A111" s="13" t="s">
        <v>599</v>
      </c>
      <c r="B111" s="13" t="s">
        <v>328</v>
      </c>
      <c r="C111" s="13" t="s">
        <v>138</v>
      </c>
      <c r="D111" t="str">
        <f t="shared" si="1"/>
        <v>Lydia Atim</v>
      </c>
      <c r="E111" s="13" t="s">
        <v>92</v>
      </c>
      <c r="F111" s="13" t="s">
        <v>600</v>
      </c>
      <c r="G111" s="13" t="s">
        <v>601</v>
      </c>
      <c r="H111" s="13" t="s">
        <v>602</v>
      </c>
      <c r="I111" s="13" t="s">
        <v>67</v>
      </c>
      <c r="J111" s="13" t="s">
        <v>96</v>
      </c>
      <c r="K111" s="13">
        <v>643</v>
      </c>
    </row>
    <row r="112" spans="1:11" x14ac:dyDescent="0.25">
      <c r="A112" s="13" t="s">
        <v>603</v>
      </c>
      <c r="B112" s="13" t="s">
        <v>420</v>
      </c>
      <c r="C112" s="13" t="s">
        <v>393</v>
      </c>
      <c r="D112" t="str">
        <f t="shared" si="1"/>
        <v>Kenneth Namukasa</v>
      </c>
      <c r="E112" s="13" t="s">
        <v>92</v>
      </c>
      <c r="F112" s="13" t="s">
        <v>604</v>
      </c>
      <c r="G112" s="13" t="s">
        <v>605</v>
      </c>
      <c r="H112" s="13" t="s">
        <v>606</v>
      </c>
      <c r="I112" s="13" t="s">
        <v>60</v>
      </c>
      <c r="J112" s="13" t="s">
        <v>118</v>
      </c>
      <c r="K112" s="13">
        <v>480</v>
      </c>
    </row>
    <row r="113" spans="1:11" x14ac:dyDescent="0.25">
      <c r="A113" s="13" t="s">
        <v>607</v>
      </c>
      <c r="B113" s="13" t="s">
        <v>273</v>
      </c>
      <c r="C113" s="13" t="s">
        <v>218</v>
      </c>
      <c r="D113" t="str">
        <f t="shared" si="1"/>
        <v>Henry Kabugo</v>
      </c>
      <c r="E113" s="13" t="s">
        <v>100</v>
      </c>
      <c r="F113" s="13" t="s">
        <v>608</v>
      </c>
      <c r="G113" s="13" t="s">
        <v>609</v>
      </c>
      <c r="H113" s="13" t="s">
        <v>610</v>
      </c>
      <c r="I113" s="13" t="s">
        <v>39</v>
      </c>
      <c r="J113" s="13" t="s">
        <v>209</v>
      </c>
      <c r="K113" s="13">
        <v>738</v>
      </c>
    </row>
    <row r="114" spans="1:11" x14ac:dyDescent="0.25">
      <c r="A114" s="13" t="s">
        <v>611</v>
      </c>
      <c r="B114" s="13" t="s">
        <v>311</v>
      </c>
      <c r="C114" s="13" t="s">
        <v>107</v>
      </c>
      <c r="D114" t="str">
        <f t="shared" si="1"/>
        <v>Moses Okello</v>
      </c>
      <c r="E114" s="13" t="s">
        <v>100</v>
      </c>
      <c r="F114" s="13" t="s">
        <v>612</v>
      </c>
      <c r="G114" s="13" t="s">
        <v>613</v>
      </c>
      <c r="H114" s="13" t="s">
        <v>614</v>
      </c>
      <c r="I114" s="13" t="s">
        <v>25</v>
      </c>
      <c r="J114" s="13" t="s">
        <v>104</v>
      </c>
      <c r="K114" s="13">
        <v>481</v>
      </c>
    </row>
    <row r="115" spans="1:11" x14ac:dyDescent="0.25">
      <c r="A115" s="13" t="s">
        <v>615</v>
      </c>
      <c r="B115" s="13" t="s">
        <v>149</v>
      </c>
      <c r="C115" s="13" t="s">
        <v>144</v>
      </c>
      <c r="D115" t="str">
        <f t="shared" si="1"/>
        <v>Emmanuel Kibuuka</v>
      </c>
      <c r="E115" s="13" t="s">
        <v>92</v>
      </c>
      <c r="F115" s="13" t="s">
        <v>616</v>
      </c>
      <c r="G115" s="13" t="s">
        <v>617</v>
      </c>
      <c r="H115" s="13" t="s">
        <v>618</v>
      </c>
      <c r="I115" s="13" t="s">
        <v>33</v>
      </c>
      <c r="J115" s="13" t="s">
        <v>96</v>
      </c>
      <c r="K115" s="13">
        <v>466</v>
      </c>
    </row>
    <row r="116" spans="1:11" x14ac:dyDescent="0.25">
      <c r="A116" s="13" t="s">
        <v>619</v>
      </c>
      <c r="B116" s="13" t="s">
        <v>188</v>
      </c>
      <c r="C116" s="13" t="s">
        <v>194</v>
      </c>
      <c r="D116" t="str">
        <f t="shared" si="1"/>
        <v>Sylvia Ochieng</v>
      </c>
      <c r="E116" s="13" t="s">
        <v>92</v>
      </c>
      <c r="F116" s="13" t="s">
        <v>620</v>
      </c>
      <c r="G116" s="13" t="s">
        <v>621</v>
      </c>
      <c r="H116" s="13" t="s">
        <v>622</v>
      </c>
      <c r="I116" s="13" t="s">
        <v>53</v>
      </c>
      <c r="J116" s="13" t="s">
        <v>96</v>
      </c>
      <c r="K116" s="13">
        <v>746</v>
      </c>
    </row>
    <row r="117" spans="1:11" x14ac:dyDescent="0.25">
      <c r="A117" s="13" t="s">
        <v>623</v>
      </c>
      <c r="B117" s="13" t="s">
        <v>98</v>
      </c>
      <c r="C117" s="13" t="s">
        <v>279</v>
      </c>
      <c r="D117" t="str">
        <f t="shared" si="1"/>
        <v>Sarah Nakato</v>
      </c>
      <c r="E117" s="13" t="s">
        <v>92</v>
      </c>
      <c r="F117" s="13" t="s">
        <v>624</v>
      </c>
      <c r="G117" s="13" t="s">
        <v>625</v>
      </c>
      <c r="H117" s="13" t="s">
        <v>626</v>
      </c>
      <c r="I117" s="13" t="s">
        <v>33</v>
      </c>
      <c r="J117" s="13" t="s">
        <v>209</v>
      </c>
      <c r="K117" s="13">
        <v>591</v>
      </c>
    </row>
    <row r="118" spans="1:11" x14ac:dyDescent="0.25">
      <c r="A118" s="13" t="s">
        <v>627</v>
      </c>
      <c r="B118" s="13" t="s">
        <v>398</v>
      </c>
      <c r="C118" s="13" t="s">
        <v>341</v>
      </c>
      <c r="D118" t="str">
        <f t="shared" si="1"/>
        <v>Jackline Ssali</v>
      </c>
      <c r="E118" s="13" t="s">
        <v>100</v>
      </c>
      <c r="F118" s="13" t="s">
        <v>628</v>
      </c>
      <c r="G118" s="13" t="s">
        <v>629</v>
      </c>
      <c r="H118" s="13" t="s">
        <v>630</v>
      </c>
      <c r="I118" s="13" t="s">
        <v>67</v>
      </c>
      <c r="J118" s="13" t="s">
        <v>209</v>
      </c>
      <c r="K118" s="13">
        <v>590</v>
      </c>
    </row>
    <row r="119" spans="1:11" x14ac:dyDescent="0.25">
      <c r="A119" s="13" t="s">
        <v>631</v>
      </c>
      <c r="B119" s="13" t="s">
        <v>407</v>
      </c>
      <c r="C119" s="13" t="s">
        <v>317</v>
      </c>
      <c r="D119" t="str">
        <f t="shared" si="1"/>
        <v>Francis Apio</v>
      </c>
      <c r="E119" s="13" t="s">
        <v>92</v>
      </c>
      <c r="F119" s="13" t="s">
        <v>632</v>
      </c>
      <c r="G119" s="13" t="s">
        <v>633</v>
      </c>
      <c r="H119" s="13" t="s">
        <v>634</v>
      </c>
      <c r="I119" s="13" t="s">
        <v>67</v>
      </c>
      <c r="J119" s="13" t="s">
        <v>96</v>
      </c>
      <c r="K119" s="13">
        <v>401</v>
      </c>
    </row>
    <row r="120" spans="1:11" x14ac:dyDescent="0.25">
      <c r="A120" s="13" t="s">
        <v>635</v>
      </c>
      <c r="B120" s="13" t="s">
        <v>125</v>
      </c>
      <c r="C120" s="13" t="s">
        <v>167</v>
      </c>
      <c r="D120" t="str">
        <f t="shared" si="1"/>
        <v>Harriet Nakirya</v>
      </c>
      <c r="E120" s="13" t="s">
        <v>92</v>
      </c>
      <c r="F120" s="13" t="s">
        <v>636</v>
      </c>
      <c r="G120" s="13" t="s">
        <v>637</v>
      </c>
      <c r="H120" s="13" t="s">
        <v>638</v>
      </c>
      <c r="I120" s="13" t="s">
        <v>53</v>
      </c>
      <c r="J120" s="13" t="s">
        <v>118</v>
      </c>
      <c r="K120" s="13">
        <v>406</v>
      </c>
    </row>
    <row r="121" spans="1:11" x14ac:dyDescent="0.25">
      <c r="A121" s="13" t="s">
        <v>639</v>
      </c>
      <c r="B121" s="13" t="s">
        <v>531</v>
      </c>
      <c r="C121" s="13" t="s">
        <v>240</v>
      </c>
      <c r="D121" t="str">
        <f t="shared" si="1"/>
        <v>Joyce Tendo</v>
      </c>
      <c r="E121" s="13" t="s">
        <v>92</v>
      </c>
      <c r="F121" s="13" t="s">
        <v>640</v>
      </c>
      <c r="G121" s="13" t="s">
        <v>641</v>
      </c>
      <c r="H121" s="13" t="s">
        <v>642</v>
      </c>
      <c r="I121" s="13" t="s">
        <v>39</v>
      </c>
      <c r="J121" s="13" t="s">
        <v>118</v>
      </c>
      <c r="K121" s="13">
        <v>316</v>
      </c>
    </row>
  </sheetData>
  <autoFilter ref="A1:K12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CAFFF-0E89-4D9B-A31B-F2659DB2249C}">
  <sheetPr codeName="Sheet8"/>
  <dimension ref="A1"/>
  <sheetViews>
    <sheetView workbookViewId="0">
      <selection activeCell="O17" sqref="O1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nerateLoanSummary">
                <anchor moveWithCells="1" sizeWithCells="1">
                  <from>
                    <xdr:col>2</xdr:col>
                    <xdr:colOff>247650</xdr:colOff>
                    <xdr:row>3</xdr:row>
                    <xdr:rowOff>19050</xdr:rowOff>
                  </from>
                  <to>
                    <xdr:col>4</xdr:col>
                    <xdr:colOff>533400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odule1.HighlightNPLLoans">
                <anchor moveWithCells="1" sizeWithCells="1">
                  <from>
                    <xdr:col>7</xdr:col>
                    <xdr:colOff>342900</xdr:colOff>
                    <xdr:row>4</xdr:row>
                    <xdr:rowOff>152400</xdr:rowOff>
                  </from>
                  <to>
                    <xdr:col>11</xdr:col>
                    <xdr:colOff>495300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learHighlights">
                <anchor moveWithCells="1" sizeWithCells="1">
                  <from>
                    <xdr:col>7</xdr:col>
                    <xdr:colOff>381000</xdr:colOff>
                    <xdr:row>14</xdr:row>
                    <xdr:rowOff>152400</xdr:rowOff>
                  </from>
                  <to>
                    <xdr:col>10</xdr:col>
                    <xdr:colOff>171450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ExportNPLToCSV">
                <anchor moveWithCells="1" sizeWithCells="1">
                  <from>
                    <xdr:col>12</xdr:col>
                    <xdr:colOff>466725</xdr:colOff>
                    <xdr:row>7</xdr:row>
                    <xdr:rowOff>104775</xdr:rowOff>
                  </from>
                  <to>
                    <xdr:col>15</xdr:col>
                    <xdr:colOff>381000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09CB3-413D-483E-B74B-F53CA7CD275F}">
  <sheetPr codeName="Sheet4"/>
  <dimension ref="A1:V32"/>
  <sheetViews>
    <sheetView workbookViewId="0">
      <selection activeCell="R1" sqref="R1:R1048576"/>
    </sheetView>
  </sheetViews>
  <sheetFormatPr defaultRowHeight="15" x14ac:dyDescent="0.25"/>
  <cols>
    <col min="8" max="8" width="10.7109375" style="26" bestFit="1" customWidth="1"/>
    <col min="10" max="10" width="10.7109375" style="26" bestFit="1" customWidth="1"/>
    <col min="14" max="14" width="12.7109375" customWidth="1"/>
    <col min="20" max="20" width="16.85546875" customWidth="1"/>
  </cols>
  <sheetData>
    <row r="1" spans="1:22" ht="60" x14ac:dyDescent="0.25">
      <c r="A1" s="5" t="s">
        <v>643</v>
      </c>
      <c r="B1" s="5" t="s">
        <v>80</v>
      </c>
      <c r="C1" s="5" t="s">
        <v>17</v>
      </c>
      <c r="D1" s="16" t="s">
        <v>644</v>
      </c>
      <c r="E1" s="14" t="s">
        <v>1744</v>
      </c>
      <c r="F1" s="5" t="s">
        <v>645</v>
      </c>
      <c r="G1" s="5" t="s">
        <v>646</v>
      </c>
      <c r="H1" s="21" t="s">
        <v>647</v>
      </c>
      <c r="I1" s="14" t="s">
        <v>1747</v>
      </c>
      <c r="J1" s="21" t="s">
        <v>648</v>
      </c>
      <c r="K1" s="24" t="s">
        <v>1748</v>
      </c>
      <c r="L1" s="5" t="s">
        <v>649</v>
      </c>
      <c r="M1" s="14" t="s">
        <v>1749</v>
      </c>
      <c r="N1" s="5" t="s">
        <v>650</v>
      </c>
      <c r="O1" s="5" t="s">
        <v>651</v>
      </c>
      <c r="P1" s="5" t="s">
        <v>652</v>
      </c>
      <c r="Q1" s="5" t="s">
        <v>653</v>
      </c>
      <c r="R1" s="5" t="s">
        <v>654</v>
      </c>
      <c r="S1" s="5" t="s">
        <v>655</v>
      </c>
      <c r="T1" s="5" t="s">
        <v>656</v>
      </c>
    </row>
    <row r="2" spans="1:22" x14ac:dyDescent="0.25">
      <c r="A2" t="str" cm="1">
        <f t="array" aca="1" ref="A2:V32" ca="1">_xlfn._xlws.SORT(_xlfn._xlws.FILTER(Loan_Applications!A2:V1000,(Loan_Applications!T2:T1000=1)*(Loan_Applications!R2:R1000&gt;50000000),"No matches found"),12,-1)</f>
        <v>LN190025</v>
      </c>
      <c r="B2" t="str">
        <f ca="1"/>
        <v>CUS88504</v>
      </c>
      <c r="C2" t="str">
        <f ca="1"/>
        <v>BR003</v>
      </c>
      <c r="D2">
        <f ca="1"/>
        <v>0</v>
      </c>
      <c r="E2" t="str">
        <f ca="1"/>
        <v>Watch</v>
      </c>
      <c r="F2" t="str">
        <f ca="1"/>
        <v>N/A</v>
      </c>
      <c r="G2">
        <f ca="1"/>
        <v>0</v>
      </c>
      <c r="H2" s="26">
        <f ca="1"/>
        <v>0</v>
      </c>
      <c r="I2" t="str">
        <f ca="1"/>
        <v>Vehicle Purchase</v>
      </c>
      <c r="J2" s="26">
        <f ca="1"/>
        <v>45129</v>
      </c>
      <c r="K2">
        <f ca="1"/>
        <v>59</v>
      </c>
      <c r="L2">
        <f ca="1"/>
        <v>46929</v>
      </c>
      <c r="M2">
        <f ca="1"/>
        <v>776</v>
      </c>
      <c r="N2">
        <f ca="1"/>
        <v>60</v>
      </c>
      <c r="O2">
        <f ca="1"/>
        <v>46956</v>
      </c>
      <c r="P2">
        <f ca="1"/>
        <v>316000000</v>
      </c>
      <c r="Q2">
        <f ca="1"/>
        <v>20.7</v>
      </c>
      <c r="R2">
        <f ca="1"/>
        <v>316000000</v>
      </c>
      <c r="S2" t="str">
        <f ca="1"/>
        <v>Written Off</v>
      </c>
      <c r="T2">
        <f ca="1"/>
        <v>1</v>
      </c>
      <c r="U2">
        <f ca="1"/>
        <v>554</v>
      </c>
      <c r="V2" t="str">
        <f ca="1"/>
        <v>None</v>
      </c>
    </row>
    <row r="3" spans="1:22" x14ac:dyDescent="0.25">
      <c r="A3" t="str">
        <f ca="1"/>
        <v>LN799891</v>
      </c>
      <c r="B3" t="str">
        <f ca="1"/>
        <v>CUS24621</v>
      </c>
      <c r="C3" t="str">
        <f ca="1"/>
        <v>BR002</v>
      </c>
      <c r="D3" t="str">
        <f ca="1"/>
        <v>Aciro Irene</v>
      </c>
      <c r="E3" t="str">
        <f ca="1"/>
        <v>Watch</v>
      </c>
      <c r="F3" t="str">
        <f ca="1"/>
        <v>Education</v>
      </c>
      <c r="G3">
        <f ca="1"/>
        <v>0</v>
      </c>
      <c r="H3" s="26">
        <f ca="1"/>
        <v>0</v>
      </c>
      <c r="I3" t="str">
        <f ca="1"/>
        <v>Medical Expenses</v>
      </c>
      <c r="J3" s="26">
        <f ca="1"/>
        <v>45044</v>
      </c>
      <c r="K3">
        <f ca="1"/>
        <v>56</v>
      </c>
      <c r="L3">
        <f ca="1"/>
        <v>46756</v>
      </c>
      <c r="M3">
        <f ca="1"/>
        <v>603</v>
      </c>
      <c r="N3">
        <f ca="1"/>
        <v>60</v>
      </c>
      <c r="O3">
        <f ca="1"/>
        <v>46871</v>
      </c>
      <c r="P3">
        <f ca="1"/>
        <v>166000000</v>
      </c>
      <c r="Q3">
        <f ca="1"/>
        <v>25.5</v>
      </c>
      <c r="R3">
        <f ca="1"/>
        <v>166000000</v>
      </c>
      <c r="S3" t="str">
        <f ca="1"/>
        <v>Written Off</v>
      </c>
      <c r="T3">
        <f ca="1"/>
        <v>1</v>
      </c>
      <c r="U3">
        <f ca="1"/>
        <v>639</v>
      </c>
      <c r="V3">
        <f ca="1"/>
        <v>0</v>
      </c>
    </row>
    <row r="4" spans="1:22" x14ac:dyDescent="0.25">
      <c r="A4" t="str">
        <f ca="1"/>
        <v>LN683397</v>
      </c>
      <c r="B4" t="str">
        <f ca="1"/>
        <v>CUS93886</v>
      </c>
      <c r="C4" t="str">
        <f ca="1"/>
        <v>BR006</v>
      </c>
      <c r="D4" t="str">
        <f ca="1"/>
        <v>Aciro Irene</v>
      </c>
      <c r="E4" t="str">
        <f ca="1"/>
        <v>Watch</v>
      </c>
      <c r="F4" t="str">
        <f ca="1"/>
        <v>Trade &amp; Commerce</v>
      </c>
      <c r="G4">
        <f ca="1"/>
        <v>0</v>
      </c>
      <c r="H4" s="26">
        <f ca="1"/>
        <v>0</v>
      </c>
      <c r="I4" t="str">
        <f ca="1"/>
        <v>Salary Advance</v>
      </c>
      <c r="J4" s="26">
        <f ca="1"/>
        <v>44921</v>
      </c>
      <c r="K4">
        <f ca="1"/>
        <v>59</v>
      </c>
      <c r="L4">
        <f ca="1"/>
        <v>46721</v>
      </c>
      <c r="M4">
        <f ca="1"/>
        <v>568</v>
      </c>
      <c r="N4">
        <f ca="1"/>
        <v>60</v>
      </c>
      <c r="O4">
        <f ca="1"/>
        <v>46747</v>
      </c>
      <c r="P4">
        <f ca="1"/>
        <v>3964000000</v>
      </c>
      <c r="Q4">
        <f ca="1"/>
        <v>14.7</v>
      </c>
      <c r="R4">
        <f ca="1"/>
        <v>1624000000</v>
      </c>
      <c r="S4" t="str">
        <f ca="1"/>
        <v>NPL</v>
      </c>
      <c r="T4">
        <f ca="1"/>
        <v>1</v>
      </c>
      <c r="U4">
        <f ca="1"/>
        <v>451</v>
      </c>
      <c r="V4" t="str">
        <f ca="1"/>
        <v>Vehicle Logbook</v>
      </c>
    </row>
    <row r="5" spans="1:22" x14ac:dyDescent="0.25">
      <c r="A5" t="str">
        <f ca="1"/>
        <v>LN827912</v>
      </c>
      <c r="B5" t="str">
        <f ca="1"/>
        <v>CUS59692</v>
      </c>
      <c r="C5" t="str">
        <f ca="1"/>
        <v>BR007</v>
      </c>
      <c r="D5" t="str">
        <f ca="1"/>
        <v>Mulumba Henry</v>
      </c>
      <c r="E5" t="str">
        <f ca="1"/>
        <v>Watch</v>
      </c>
      <c r="F5" t="str">
        <f ca="1"/>
        <v>SME</v>
      </c>
      <c r="G5" t="str">
        <f ca="1"/>
        <v>SME</v>
      </c>
      <c r="H5" s="26">
        <f ca="1"/>
        <v>19</v>
      </c>
      <c r="I5" t="str">
        <f ca="1"/>
        <v>Education Fees</v>
      </c>
      <c r="J5" s="26">
        <f ca="1"/>
        <v>44892</v>
      </c>
      <c r="K5">
        <f ca="1"/>
        <v>59</v>
      </c>
      <c r="L5">
        <f ca="1"/>
        <v>46692</v>
      </c>
      <c r="M5">
        <f ca="1"/>
        <v>539</v>
      </c>
      <c r="N5">
        <f ca="1"/>
        <v>60</v>
      </c>
      <c r="O5">
        <f ca="1"/>
        <v>46718</v>
      </c>
      <c r="P5">
        <f ca="1"/>
        <v>4274000000</v>
      </c>
      <c r="Q5">
        <f ca="1"/>
        <v>26.1</v>
      </c>
      <c r="R5">
        <f ca="1"/>
        <v>4274000000</v>
      </c>
      <c r="S5" t="str">
        <f ca="1"/>
        <v>Written Off</v>
      </c>
      <c r="T5">
        <f ca="1"/>
        <v>1</v>
      </c>
      <c r="U5">
        <f ca="1"/>
        <v>210</v>
      </c>
      <c r="V5" t="str">
        <f ca="1"/>
        <v>LPO</v>
      </c>
    </row>
    <row r="6" spans="1:22" x14ac:dyDescent="0.25">
      <c r="A6" t="str">
        <f ca="1"/>
        <v>LN185569</v>
      </c>
      <c r="B6" t="str">
        <f ca="1"/>
        <v>CUS62383</v>
      </c>
      <c r="C6" t="str">
        <f ca="1"/>
        <v>BR004</v>
      </c>
      <c r="D6">
        <f ca="1"/>
        <v>0</v>
      </c>
      <c r="E6" t="str">
        <f ca="1"/>
        <v>Watch</v>
      </c>
      <c r="F6" t="str">
        <f ca="1"/>
        <v>Education</v>
      </c>
      <c r="G6">
        <f ca="1"/>
        <v>0</v>
      </c>
      <c r="H6" s="26">
        <f ca="1"/>
        <v>0</v>
      </c>
      <c r="I6" t="str">
        <f ca="1"/>
        <v>Asset Purchase</v>
      </c>
      <c r="J6" s="26">
        <f ca="1"/>
        <v>44883</v>
      </c>
      <c r="K6">
        <f ca="1"/>
        <v>59</v>
      </c>
      <c r="L6">
        <f ca="1"/>
        <v>46683</v>
      </c>
      <c r="M6">
        <f ca="1"/>
        <v>530</v>
      </c>
      <c r="N6">
        <f ca="1"/>
        <v>60</v>
      </c>
      <c r="O6">
        <f ca="1"/>
        <v>46709</v>
      </c>
      <c r="P6">
        <f ca="1"/>
        <v>120000000</v>
      </c>
      <c r="Q6">
        <f ca="1"/>
        <v>26.8</v>
      </c>
      <c r="R6">
        <f ca="1"/>
        <v>120000000</v>
      </c>
      <c r="S6" t="str">
        <f ca="1"/>
        <v>Written Off</v>
      </c>
      <c r="T6">
        <f ca="1"/>
        <v>1</v>
      </c>
      <c r="U6">
        <f ca="1"/>
        <v>233</v>
      </c>
      <c r="V6">
        <f ca="1"/>
        <v>0</v>
      </c>
    </row>
    <row r="7" spans="1:22" x14ac:dyDescent="0.25">
      <c r="A7" t="str">
        <f ca="1"/>
        <v>LN265271</v>
      </c>
      <c r="B7" t="str">
        <f ca="1"/>
        <v>CUS31567</v>
      </c>
      <c r="C7" t="str">
        <f ca="1"/>
        <v>BR005</v>
      </c>
      <c r="D7">
        <f ca="1"/>
        <v>0</v>
      </c>
      <c r="E7" t="str">
        <f ca="1"/>
        <v>Watch</v>
      </c>
      <c r="F7" t="str">
        <f ca="1"/>
        <v>Tourism</v>
      </c>
      <c r="G7">
        <f ca="1"/>
        <v>0</v>
      </c>
      <c r="H7" s="26">
        <f ca="1"/>
        <v>0</v>
      </c>
      <c r="I7" t="str">
        <f ca="1"/>
        <v>Working Capital</v>
      </c>
      <c r="J7" s="26">
        <f ca="1"/>
        <v>44637</v>
      </c>
      <c r="K7">
        <f ca="1"/>
        <v>59</v>
      </c>
      <c r="L7">
        <f ca="1"/>
        <v>46437</v>
      </c>
      <c r="M7">
        <f ca="1"/>
        <v>284</v>
      </c>
      <c r="N7">
        <f ca="1"/>
        <v>60</v>
      </c>
      <c r="O7">
        <f ca="1"/>
        <v>46463</v>
      </c>
      <c r="P7">
        <f ca="1"/>
        <v>1247000000</v>
      </c>
      <c r="Q7">
        <f ca="1"/>
        <v>17.5</v>
      </c>
      <c r="R7">
        <f ca="1"/>
        <v>740000000</v>
      </c>
      <c r="S7" t="str">
        <f ca="1"/>
        <v>NPL</v>
      </c>
      <c r="T7">
        <f ca="1"/>
        <v>1</v>
      </c>
      <c r="U7">
        <f ca="1"/>
        <v>141</v>
      </c>
      <c r="V7" t="str">
        <f ca="1"/>
        <v>LPO</v>
      </c>
    </row>
    <row r="8" spans="1:22" x14ac:dyDescent="0.25">
      <c r="A8" t="str">
        <f ca="1"/>
        <v>LN296412</v>
      </c>
      <c r="B8" t="str">
        <f ca="1"/>
        <v>CUS50730</v>
      </c>
      <c r="C8" t="str">
        <f ca="1"/>
        <v>BR002</v>
      </c>
      <c r="D8" t="str">
        <f ca="1"/>
        <v>Nanteza Florence</v>
      </c>
      <c r="E8" t="str">
        <f ca="1"/>
        <v>Watch</v>
      </c>
      <c r="F8" t="str">
        <f ca="1"/>
        <v>Education</v>
      </c>
      <c r="G8" t="str">
        <f ca="1"/>
        <v>Education</v>
      </c>
      <c r="H8" s="26">
        <f ca="1"/>
        <v>13</v>
      </c>
      <c r="I8" t="str">
        <f ca="1"/>
        <v>Asset Purchase</v>
      </c>
      <c r="J8" s="26">
        <f ca="1"/>
        <v>45274</v>
      </c>
      <c r="K8">
        <f ca="1"/>
        <v>35</v>
      </c>
      <c r="L8">
        <f ca="1"/>
        <v>46354</v>
      </c>
      <c r="M8">
        <f ca="1"/>
        <v>201</v>
      </c>
      <c r="N8">
        <f ca="1"/>
        <v>36</v>
      </c>
      <c r="O8">
        <f ca="1"/>
        <v>46370</v>
      </c>
      <c r="P8">
        <f ca="1"/>
        <v>4658000000</v>
      </c>
      <c r="Q8">
        <f ca="1"/>
        <v>14.3</v>
      </c>
      <c r="R8">
        <f ca="1"/>
        <v>4658000000</v>
      </c>
      <c r="S8" t="str">
        <f ca="1"/>
        <v>Written Off</v>
      </c>
      <c r="T8">
        <f ca="1"/>
        <v>1</v>
      </c>
      <c r="U8">
        <f ca="1"/>
        <v>135</v>
      </c>
      <c r="V8" t="str">
        <f ca="1"/>
        <v>Share Certificate</v>
      </c>
    </row>
    <row r="9" spans="1:22" x14ac:dyDescent="0.25">
      <c r="A9" t="str">
        <f ca="1"/>
        <v>LN746002</v>
      </c>
      <c r="B9" t="str">
        <f ca="1"/>
        <v>CUS34983</v>
      </c>
      <c r="C9" t="str">
        <f ca="1"/>
        <v>BR008</v>
      </c>
      <c r="D9" t="str">
        <f ca="1"/>
        <v>Museveni Robert</v>
      </c>
      <c r="E9" t="str">
        <f ca="1"/>
        <v>Watch</v>
      </c>
      <c r="F9" t="str">
        <f ca="1"/>
        <v>Trade &amp; Commerce</v>
      </c>
      <c r="G9">
        <f ca="1"/>
        <v>0</v>
      </c>
      <c r="H9" s="26">
        <f ca="1"/>
        <v>0</v>
      </c>
      <c r="I9" t="str">
        <f ca="1"/>
        <v>Asset Purchase</v>
      </c>
      <c r="J9" s="26">
        <f ca="1"/>
        <v>44483</v>
      </c>
      <c r="K9">
        <f ca="1"/>
        <v>59</v>
      </c>
      <c r="L9">
        <f ca="1"/>
        <v>46283</v>
      </c>
      <c r="M9">
        <f ca="1"/>
        <v>130</v>
      </c>
      <c r="N9">
        <f ca="1"/>
        <v>60</v>
      </c>
      <c r="O9">
        <f ca="1"/>
        <v>46309</v>
      </c>
      <c r="P9">
        <f ca="1"/>
        <v>351000000</v>
      </c>
      <c r="Q9">
        <f ca="1"/>
        <v>27.5</v>
      </c>
      <c r="R9">
        <f ca="1"/>
        <v>84000000</v>
      </c>
      <c r="S9" t="str">
        <f ca="1"/>
        <v>NPL</v>
      </c>
      <c r="T9">
        <f ca="1"/>
        <v>1</v>
      </c>
      <c r="U9">
        <f ca="1"/>
        <v>344</v>
      </c>
      <c r="V9" t="str">
        <f ca="1"/>
        <v>LPO</v>
      </c>
    </row>
    <row r="10" spans="1:22" x14ac:dyDescent="0.25">
      <c r="A10" t="str">
        <f ca="1"/>
        <v>LN644500</v>
      </c>
      <c r="B10" t="str">
        <f ca="1"/>
        <v>CUS29536</v>
      </c>
      <c r="C10" t="str">
        <f ca="1"/>
        <v>BR002</v>
      </c>
      <c r="D10" t="str">
        <f ca="1"/>
        <v>Bwogi Kenneth</v>
      </c>
      <c r="E10" t="str">
        <f ca="1"/>
        <v>Watch</v>
      </c>
      <c r="F10" t="str">
        <f ca="1"/>
        <v>Healthcare</v>
      </c>
      <c r="G10">
        <f ca="1"/>
        <v>0</v>
      </c>
      <c r="H10" s="26">
        <f ca="1"/>
        <v>0</v>
      </c>
      <c r="I10" t="str">
        <f ca="1"/>
        <v>Asset Purchase</v>
      </c>
      <c r="J10" s="26">
        <f ca="1"/>
        <v>44932</v>
      </c>
      <c r="K10">
        <f ca="1"/>
        <v>40</v>
      </c>
      <c r="L10">
        <f ca="1"/>
        <v>46158</v>
      </c>
      <c r="M10">
        <f ca="1"/>
        <v>5</v>
      </c>
      <c r="N10">
        <f ca="1"/>
        <v>36</v>
      </c>
      <c r="O10">
        <f ca="1"/>
        <v>46028</v>
      </c>
      <c r="P10">
        <f ca="1"/>
        <v>329000000</v>
      </c>
      <c r="Q10">
        <f ca="1"/>
        <v>15.4</v>
      </c>
      <c r="R10">
        <f ca="1"/>
        <v>117000000</v>
      </c>
      <c r="S10" t="str">
        <f ca="1"/>
        <v>NPL</v>
      </c>
      <c r="T10">
        <f ca="1"/>
        <v>1</v>
      </c>
      <c r="U10">
        <f ca="1"/>
        <v>404</v>
      </c>
      <c r="V10" t="str">
        <f ca="1"/>
        <v>Insurance Policy</v>
      </c>
    </row>
    <row r="11" spans="1:22" x14ac:dyDescent="0.25">
      <c r="A11" t="str">
        <f ca="1"/>
        <v>LN495303</v>
      </c>
      <c r="B11" t="str">
        <f ca="1"/>
        <v>CUS28301</v>
      </c>
      <c r="C11" t="str">
        <f ca="1"/>
        <v>BR008</v>
      </c>
      <c r="D11" t="str">
        <f ca="1"/>
        <v>Mulumba Henry</v>
      </c>
      <c r="E11" t="str">
        <f ca="1"/>
        <v>Watch</v>
      </c>
      <c r="F11" t="str">
        <f ca="1"/>
        <v>SME</v>
      </c>
      <c r="G11">
        <f ca="1"/>
        <v>0</v>
      </c>
      <c r="H11" s="26">
        <f ca="1"/>
        <v>0</v>
      </c>
      <c r="I11" t="str">
        <f ca="1"/>
        <v>Equipment Purchase</v>
      </c>
      <c r="J11" s="26">
        <f ca="1"/>
        <v>44930</v>
      </c>
      <c r="K11">
        <f ca="1"/>
        <v>38</v>
      </c>
      <c r="L11">
        <f ca="1"/>
        <v>46097</v>
      </c>
      <c r="M11">
        <f ca="1"/>
        <v>0</v>
      </c>
      <c r="N11">
        <f ca="1"/>
        <v>36</v>
      </c>
      <c r="O11">
        <f ca="1"/>
        <v>46026</v>
      </c>
      <c r="P11">
        <f ca="1"/>
        <v>3926000000</v>
      </c>
      <c r="Q11" t="str">
        <f ca="1"/>
        <v>14.5%</v>
      </c>
      <c r="R11">
        <f ca="1"/>
        <v>1251000000</v>
      </c>
      <c r="S11" t="str">
        <f ca="1"/>
        <v>NPL</v>
      </c>
      <c r="T11">
        <f ca="1"/>
        <v>1</v>
      </c>
      <c r="U11">
        <f ca="1"/>
        <v>640</v>
      </c>
      <c r="V11" t="str">
        <f ca="1"/>
        <v>Vehicle Logbook</v>
      </c>
    </row>
    <row r="12" spans="1:22" x14ac:dyDescent="0.25">
      <c r="A12" t="str">
        <f ca="1"/>
        <v>LN999908</v>
      </c>
      <c r="B12" t="str">
        <f ca="1"/>
        <v>CUS96200</v>
      </c>
      <c r="C12" t="str">
        <f ca="1"/>
        <v>BR001</v>
      </c>
      <c r="D12" t="str">
        <f ca="1"/>
        <v>Kato David</v>
      </c>
      <c r="E12" t="str">
        <f ca="1"/>
        <v>Watch</v>
      </c>
      <c r="F12" t="str">
        <f ca="1"/>
        <v>Healthcare</v>
      </c>
      <c r="G12">
        <f ca="1"/>
        <v>0</v>
      </c>
      <c r="H12" s="26">
        <f ca="1"/>
        <v>0</v>
      </c>
      <c r="I12" t="str">
        <f ca="1"/>
        <v>Salary Advance</v>
      </c>
      <c r="J12" s="26">
        <f ca="1"/>
        <v>45262</v>
      </c>
      <c r="K12">
        <f ca="1"/>
        <v>25</v>
      </c>
      <c r="L12">
        <f ca="1"/>
        <v>46049</v>
      </c>
      <c r="M12">
        <f ca="1"/>
        <v>0</v>
      </c>
      <c r="N12">
        <f ca="1"/>
        <v>36</v>
      </c>
      <c r="O12">
        <f ca="1"/>
        <v>46358</v>
      </c>
      <c r="P12">
        <f ca="1"/>
        <v>577000000</v>
      </c>
      <c r="Q12">
        <f ca="1"/>
        <v>16.399999999999999</v>
      </c>
      <c r="R12">
        <f ca="1"/>
        <v>577000000</v>
      </c>
      <c r="S12" t="str">
        <f ca="1"/>
        <v>Written Off</v>
      </c>
      <c r="T12">
        <f ca="1"/>
        <v>1</v>
      </c>
      <c r="U12">
        <f ca="1"/>
        <v>535</v>
      </c>
      <c r="V12" t="str">
        <f ca="1"/>
        <v>None</v>
      </c>
    </row>
    <row r="13" spans="1:22" x14ac:dyDescent="0.25">
      <c r="A13" t="str">
        <f ca="1"/>
        <v>LN310647</v>
      </c>
      <c r="B13" t="str">
        <f ca="1"/>
        <v>CUS87992</v>
      </c>
      <c r="C13" t="str">
        <f ca="1"/>
        <v>BR005</v>
      </c>
      <c r="D13" t="str">
        <f ca="1"/>
        <v>Aciro Irene</v>
      </c>
      <c r="E13" t="str">
        <f ca="1"/>
        <v>Watch</v>
      </c>
      <c r="F13" t="str">
        <f ca="1"/>
        <v>Education</v>
      </c>
      <c r="G13">
        <f ca="1"/>
        <v>0</v>
      </c>
      <c r="H13" s="26">
        <f ca="1"/>
        <v>0</v>
      </c>
      <c r="I13" t="str">
        <f ca="1"/>
        <v>Land Purchase</v>
      </c>
      <c r="J13" s="26">
        <f ca="1"/>
        <v>44468</v>
      </c>
      <c r="K13">
        <f ca="1"/>
        <v>46</v>
      </c>
      <c r="L13">
        <f ca="1"/>
        <v>45878</v>
      </c>
      <c r="M13">
        <f ca="1"/>
        <v>0</v>
      </c>
      <c r="N13">
        <f ca="1"/>
        <v>48</v>
      </c>
      <c r="O13">
        <f ca="1"/>
        <v>45929</v>
      </c>
      <c r="P13">
        <f ca="1"/>
        <v>4627000000</v>
      </c>
      <c r="Q13">
        <f ca="1"/>
        <v>23.7</v>
      </c>
      <c r="R13">
        <f ca="1"/>
        <v>1438000000</v>
      </c>
      <c r="S13" t="str">
        <f ca="1"/>
        <v>NPL</v>
      </c>
      <c r="T13">
        <f ca="1"/>
        <v>1</v>
      </c>
      <c r="U13">
        <f ca="1"/>
        <v>451</v>
      </c>
      <c r="V13" t="str">
        <f ca="1"/>
        <v>Business Assets</v>
      </c>
    </row>
    <row r="14" spans="1:22" x14ac:dyDescent="0.25">
      <c r="A14" t="str">
        <f ca="1"/>
        <v>LN615827</v>
      </c>
      <c r="B14" t="str">
        <f ca="1"/>
        <v>CUS32946</v>
      </c>
      <c r="C14" t="str">
        <f ca="1"/>
        <v>BR008</v>
      </c>
      <c r="D14" t="str">
        <f ca="1"/>
        <v>Apio Grace</v>
      </c>
      <c r="E14" t="str">
        <f ca="1"/>
        <v>Watch</v>
      </c>
      <c r="F14" t="str">
        <f ca="1"/>
        <v>Agriculture</v>
      </c>
      <c r="G14">
        <f ca="1"/>
        <v>0</v>
      </c>
      <c r="H14" s="26">
        <f ca="1"/>
        <v>0</v>
      </c>
      <c r="I14" t="str">
        <f ca="1"/>
        <v>Salary Advance</v>
      </c>
      <c r="J14" s="26">
        <f ca="1"/>
        <v>44796</v>
      </c>
      <c r="K14">
        <f ca="1"/>
        <v>34</v>
      </c>
      <c r="L14">
        <f ca="1"/>
        <v>45846</v>
      </c>
      <c r="M14">
        <f ca="1"/>
        <v>0</v>
      </c>
      <c r="N14">
        <f ca="1"/>
        <v>36</v>
      </c>
      <c r="O14">
        <f ca="1"/>
        <v>45892</v>
      </c>
      <c r="P14">
        <f ca="1"/>
        <v>559000000</v>
      </c>
      <c r="Q14">
        <f ca="1"/>
        <v>19.2</v>
      </c>
      <c r="R14">
        <f ca="1"/>
        <v>559000000</v>
      </c>
      <c r="S14" t="str">
        <f ca="1"/>
        <v>Written Off</v>
      </c>
      <c r="T14">
        <f ca="1"/>
        <v>1</v>
      </c>
      <c r="U14">
        <f ca="1"/>
        <v>665</v>
      </c>
      <c r="V14" t="str">
        <f ca="1"/>
        <v>Share Certificate</v>
      </c>
    </row>
    <row r="15" spans="1:22" x14ac:dyDescent="0.25">
      <c r="A15" t="str">
        <f ca="1"/>
        <v>LN348041</v>
      </c>
      <c r="B15" t="str">
        <f ca="1"/>
        <v>CUS32782</v>
      </c>
      <c r="C15" t="str">
        <f ca="1"/>
        <v>BR006</v>
      </c>
      <c r="D15">
        <f ca="1"/>
        <v>0</v>
      </c>
      <c r="E15" t="str">
        <f ca="1"/>
        <v>Watch</v>
      </c>
      <c r="F15" t="str">
        <f ca="1"/>
        <v>Education</v>
      </c>
      <c r="G15">
        <f ca="1"/>
        <v>0</v>
      </c>
      <c r="H15" s="26">
        <f ca="1"/>
        <v>0</v>
      </c>
      <c r="I15" t="str">
        <f ca="1"/>
        <v>Equipment Purchase</v>
      </c>
      <c r="J15" s="26">
        <f ca="1"/>
        <v>44254</v>
      </c>
      <c r="K15">
        <f ca="1"/>
        <v>47</v>
      </c>
      <c r="L15">
        <f ca="1"/>
        <v>45694</v>
      </c>
      <c r="M15">
        <f ca="1"/>
        <v>0</v>
      </c>
      <c r="N15">
        <f ca="1"/>
        <v>48</v>
      </c>
      <c r="O15">
        <f ca="1"/>
        <v>45715</v>
      </c>
      <c r="P15">
        <f ca="1"/>
        <v>1664000000</v>
      </c>
      <c r="Q15" t="str">
        <f ca="1"/>
        <v>27.3%</v>
      </c>
      <c r="R15">
        <f ca="1"/>
        <v>1664000000</v>
      </c>
      <c r="S15" t="str">
        <f ca="1"/>
        <v>Written Off</v>
      </c>
      <c r="T15">
        <f ca="1"/>
        <v>1</v>
      </c>
      <c r="U15">
        <f ca="1"/>
        <v>646</v>
      </c>
      <c r="V15">
        <f ca="1"/>
        <v>0</v>
      </c>
    </row>
    <row r="16" spans="1:22" x14ac:dyDescent="0.25">
      <c r="A16" t="str">
        <f ca="1"/>
        <v>LN876962</v>
      </c>
      <c r="B16" t="str">
        <f ca="1"/>
        <v>CUS21959</v>
      </c>
      <c r="C16" t="str">
        <f ca="1"/>
        <v>BR001</v>
      </c>
      <c r="D16" t="str">
        <f ca="1"/>
        <v>Kato David</v>
      </c>
      <c r="E16" t="str">
        <f ca="1"/>
        <v>Watch</v>
      </c>
      <c r="F16" t="str">
        <f ca="1"/>
        <v>Personal Loans</v>
      </c>
      <c r="G16">
        <f ca="1"/>
        <v>0</v>
      </c>
      <c r="H16" s="26">
        <f ca="1"/>
        <v>0</v>
      </c>
      <c r="I16" t="str">
        <f ca="1"/>
        <v>Education Fees</v>
      </c>
      <c r="J16" s="26">
        <f ca="1"/>
        <v>45201</v>
      </c>
      <c r="K16">
        <f ca="1"/>
        <v>15</v>
      </c>
      <c r="L16">
        <f ca="1"/>
        <v>45687</v>
      </c>
      <c r="M16">
        <f ca="1"/>
        <v>0</v>
      </c>
      <c r="N16">
        <f ca="1"/>
        <v>24</v>
      </c>
      <c r="O16">
        <f ca="1"/>
        <v>45932</v>
      </c>
      <c r="P16">
        <f ca="1"/>
        <v>224000000</v>
      </c>
      <c r="Q16">
        <f ca="1"/>
        <v>18.399999999999999</v>
      </c>
      <c r="R16">
        <f ca="1"/>
        <v>56000000</v>
      </c>
      <c r="S16" t="str">
        <f ca="1"/>
        <v>NPL</v>
      </c>
      <c r="T16">
        <f ca="1"/>
        <v>1</v>
      </c>
      <c r="U16">
        <f ca="1"/>
        <v>672</v>
      </c>
      <c r="V16" t="str">
        <f ca="1"/>
        <v>Vehicle Logbook</v>
      </c>
    </row>
    <row r="17" spans="1:22" x14ac:dyDescent="0.25">
      <c r="A17" t="str">
        <f ca="1"/>
        <v>LN197545</v>
      </c>
      <c r="B17" t="str">
        <f ca="1"/>
        <v>CUS20458</v>
      </c>
      <c r="C17" t="str">
        <f ca="1"/>
        <v>BR004</v>
      </c>
      <c r="D17" t="str">
        <f ca="1"/>
        <v>Nanteza Florence</v>
      </c>
      <c r="E17" t="str">
        <f ca="1"/>
        <v>Watch</v>
      </c>
      <c r="F17" t="str">
        <f ca="1"/>
        <v>Healthcare</v>
      </c>
      <c r="G17">
        <f ca="1"/>
        <v>0</v>
      </c>
      <c r="H17" s="26">
        <f ca="1"/>
        <v>0</v>
      </c>
      <c r="I17" t="str">
        <f ca="1"/>
        <v>Debt Refinancing</v>
      </c>
      <c r="J17" s="26">
        <f ca="1"/>
        <v>44959</v>
      </c>
      <c r="K17">
        <f ca="1"/>
        <v>23</v>
      </c>
      <c r="L17">
        <f ca="1"/>
        <v>45679</v>
      </c>
      <c r="M17">
        <f ca="1"/>
        <v>0</v>
      </c>
      <c r="N17">
        <f ca="1"/>
        <v>24</v>
      </c>
      <c r="O17">
        <f ca="1"/>
        <v>45690</v>
      </c>
      <c r="P17">
        <f ca="1"/>
        <v>1282000000</v>
      </c>
      <c r="Q17">
        <f ca="1"/>
        <v>15.9</v>
      </c>
      <c r="R17">
        <f ca="1"/>
        <v>1282000000</v>
      </c>
      <c r="S17" t="str">
        <f ca="1"/>
        <v>Written Off</v>
      </c>
      <c r="T17">
        <f ca="1"/>
        <v>1</v>
      </c>
      <c r="U17">
        <f ca="1"/>
        <v>167</v>
      </c>
      <c r="V17" t="str">
        <f ca="1"/>
        <v>Land Title</v>
      </c>
    </row>
    <row r="18" spans="1:22" x14ac:dyDescent="0.25">
      <c r="A18" t="str">
        <f ca="1"/>
        <v>LN764001</v>
      </c>
      <c r="B18" t="str">
        <f ca="1"/>
        <v>CUS94246</v>
      </c>
      <c r="C18" t="str">
        <f ca="1"/>
        <v>BR006</v>
      </c>
      <c r="D18" t="str">
        <f ca="1"/>
        <v>Mulumba Henry</v>
      </c>
      <c r="E18" t="str">
        <f ca="1"/>
        <v>Watch</v>
      </c>
      <c r="F18" t="str">
        <f ca="1"/>
        <v>Real Estate</v>
      </c>
      <c r="G18">
        <f ca="1"/>
        <v>0</v>
      </c>
      <c r="H18" s="26">
        <f ca="1"/>
        <v>0</v>
      </c>
      <c r="I18" t="str">
        <f ca="1"/>
        <v>Equipment Purchase</v>
      </c>
      <c r="J18" s="26">
        <f ca="1"/>
        <v>45314</v>
      </c>
      <c r="K18">
        <f ca="1"/>
        <v>11</v>
      </c>
      <c r="L18">
        <f ca="1"/>
        <v>45674</v>
      </c>
      <c r="M18">
        <f ca="1"/>
        <v>0</v>
      </c>
      <c r="N18">
        <f ca="1"/>
        <v>12</v>
      </c>
      <c r="O18">
        <f ca="1"/>
        <v>45680</v>
      </c>
      <c r="P18">
        <f ca="1"/>
        <v>442000000</v>
      </c>
      <c r="Q18">
        <f ca="1"/>
        <v>27.5</v>
      </c>
      <c r="R18">
        <f ca="1"/>
        <v>442000000</v>
      </c>
      <c r="S18" t="str">
        <f ca="1"/>
        <v>Written Off</v>
      </c>
      <c r="T18">
        <f ca="1"/>
        <v>1</v>
      </c>
      <c r="U18">
        <f ca="1"/>
        <v>497</v>
      </c>
      <c r="V18" t="str">
        <f ca="1"/>
        <v>Land Title</v>
      </c>
    </row>
    <row r="19" spans="1:22" x14ac:dyDescent="0.25">
      <c r="A19" t="str">
        <f ca="1"/>
        <v>LN667451</v>
      </c>
      <c r="B19" t="str">
        <f ca="1"/>
        <v>CUS93886</v>
      </c>
      <c r="C19" t="str">
        <f ca="1"/>
        <v>BR002</v>
      </c>
      <c r="D19" t="str">
        <f ca="1"/>
        <v>Okello James</v>
      </c>
      <c r="E19" t="str">
        <f ca="1"/>
        <v>Watch</v>
      </c>
      <c r="F19" t="str">
        <f ca="1"/>
        <v>Agriculture</v>
      </c>
      <c r="G19">
        <f ca="1"/>
        <v>0</v>
      </c>
      <c r="H19" s="26">
        <f ca="1"/>
        <v>0</v>
      </c>
      <c r="I19" t="str">
        <f ca="1"/>
        <v>Business Expansion</v>
      </c>
      <c r="J19" s="26">
        <f ca="1"/>
        <v>45034</v>
      </c>
      <c r="K19">
        <f ca="1"/>
        <v>19</v>
      </c>
      <c r="L19">
        <f ca="1"/>
        <v>45630</v>
      </c>
      <c r="M19">
        <f ca="1"/>
        <v>0</v>
      </c>
      <c r="N19">
        <f ca="1"/>
        <v>12</v>
      </c>
      <c r="O19">
        <f ca="1"/>
        <v>45400</v>
      </c>
      <c r="P19">
        <f ca="1"/>
        <v>119000000</v>
      </c>
      <c r="Q19">
        <f ca="1"/>
        <v>27.9</v>
      </c>
      <c r="R19">
        <f ca="1"/>
        <v>119000000</v>
      </c>
      <c r="S19" t="str">
        <f ca="1"/>
        <v>Written Off</v>
      </c>
      <c r="T19">
        <f ca="1"/>
        <v>1</v>
      </c>
      <c r="U19">
        <f ca="1"/>
        <v>550</v>
      </c>
      <c r="V19" t="str">
        <f ca="1"/>
        <v>Share Certificate</v>
      </c>
    </row>
    <row r="20" spans="1:22" x14ac:dyDescent="0.25">
      <c r="A20" t="str">
        <f ca="1"/>
        <v>LN736129</v>
      </c>
      <c r="B20" t="str">
        <f ca="1"/>
        <v>CUS10942</v>
      </c>
      <c r="C20" t="str">
        <f ca="1"/>
        <v>BR006</v>
      </c>
      <c r="D20" t="str">
        <f ca="1"/>
        <v>Bwogi Kenneth</v>
      </c>
      <c r="E20" t="str">
        <f ca="1"/>
        <v>Watch</v>
      </c>
      <c r="F20" t="str">
        <f ca="1"/>
        <v>Education</v>
      </c>
      <c r="G20" t="str">
        <f ca="1"/>
        <v>N/A</v>
      </c>
      <c r="H20" s="26">
        <f ca="1"/>
        <v>5</v>
      </c>
      <c r="I20" t="str">
        <f ca="1"/>
        <v>Debt Refinancing</v>
      </c>
      <c r="J20" s="26">
        <f ca="1"/>
        <v>44904</v>
      </c>
      <c r="K20">
        <f ca="1"/>
        <v>23</v>
      </c>
      <c r="L20">
        <f ca="1"/>
        <v>45624</v>
      </c>
      <c r="M20">
        <f ca="1"/>
        <v>0</v>
      </c>
      <c r="N20">
        <f ca="1"/>
        <v>24</v>
      </c>
      <c r="O20">
        <f ca="1"/>
        <v>45635</v>
      </c>
      <c r="P20">
        <f ca="1"/>
        <v>3535000000</v>
      </c>
      <c r="Q20">
        <f ca="1"/>
        <v>21.9</v>
      </c>
      <c r="R20">
        <f ca="1"/>
        <v>2589000000</v>
      </c>
      <c r="S20" t="str">
        <f ca="1"/>
        <v>NPL</v>
      </c>
      <c r="T20">
        <f ca="1"/>
        <v>1</v>
      </c>
      <c r="U20">
        <f ca="1"/>
        <v>216</v>
      </c>
      <c r="V20">
        <f ca="1"/>
        <v>0</v>
      </c>
    </row>
    <row r="21" spans="1:22" x14ac:dyDescent="0.25">
      <c r="A21" t="str">
        <f ca="1"/>
        <v>LN288503</v>
      </c>
      <c r="B21" t="str">
        <f ca="1"/>
        <v>CUS59986</v>
      </c>
      <c r="C21" t="str">
        <f ca="1"/>
        <v>BR003</v>
      </c>
      <c r="D21" t="str">
        <f ca="1"/>
        <v>Nakayiwa Joyce</v>
      </c>
      <c r="E21" t="str">
        <f ca="1"/>
        <v>Watch</v>
      </c>
      <c r="F21" t="str">
        <f ca="1"/>
        <v>Healthcare</v>
      </c>
      <c r="G21">
        <f ca="1"/>
        <v>0</v>
      </c>
      <c r="H21" s="26">
        <f ca="1"/>
        <v>0</v>
      </c>
      <c r="I21" t="str">
        <f ca="1"/>
        <v>Vehicle Purchase</v>
      </c>
      <c r="J21" s="26">
        <f ca="1"/>
        <v>45120</v>
      </c>
      <c r="K21">
        <f ca="1"/>
        <v>13</v>
      </c>
      <c r="L21">
        <f ca="1"/>
        <v>45536</v>
      </c>
      <c r="M21">
        <f ca="1"/>
        <v>0</v>
      </c>
      <c r="N21">
        <f ca="1"/>
        <v>6</v>
      </c>
      <c r="O21">
        <f ca="1"/>
        <v>45304</v>
      </c>
      <c r="P21">
        <f ca="1"/>
        <v>282000000</v>
      </c>
      <c r="Q21">
        <f ca="1"/>
        <v>15.3</v>
      </c>
      <c r="R21">
        <f ca="1"/>
        <v>92000000</v>
      </c>
      <c r="S21" t="str">
        <f ca="1"/>
        <v>NPL</v>
      </c>
      <c r="T21">
        <f ca="1"/>
        <v>1</v>
      </c>
      <c r="U21">
        <f ca="1"/>
        <v>258</v>
      </c>
      <c r="V21" t="str">
        <f ca="1"/>
        <v>Vehicle Logbook</v>
      </c>
    </row>
    <row r="22" spans="1:22" x14ac:dyDescent="0.25">
      <c r="A22" t="str">
        <f ca="1"/>
        <v>LN351198</v>
      </c>
      <c r="B22" t="str">
        <f ca="1"/>
        <v>CUS68743</v>
      </c>
      <c r="C22" t="str">
        <f ca="1"/>
        <v>BR005</v>
      </c>
      <c r="D22" t="str">
        <f ca="1"/>
        <v>Apio Grace</v>
      </c>
      <c r="E22" t="str">
        <f ca="1"/>
        <v>Watch</v>
      </c>
      <c r="F22" t="str">
        <f ca="1"/>
        <v>Personal Loans</v>
      </c>
      <c r="G22">
        <f ca="1"/>
        <v>0</v>
      </c>
      <c r="H22" s="26">
        <f ca="1"/>
        <v>0</v>
      </c>
      <c r="I22" t="str">
        <f ca="1"/>
        <v>Business Expansion</v>
      </c>
      <c r="J22" s="26">
        <f ca="1"/>
        <v>45042</v>
      </c>
      <c r="K22">
        <f ca="1"/>
        <v>11</v>
      </c>
      <c r="L22">
        <f ca="1"/>
        <v>45402</v>
      </c>
      <c r="M22">
        <f ca="1"/>
        <v>0</v>
      </c>
      <c r="N22">
        <f ca="1"/>
        <v>12</v>
      </c>
      <c r="O22">
        <f ca="1"/>
        <v>45408</v>
      </c>
      <c r="P22">
        <f ca="1"/>
        <v>143000000</v>
      </c>
      <c r="Q22">
        <f ca="1"/>
        <v>15.5</v>
      </c>
      <c r="R22">
        <f ca="1"/>
        <v>143000000</v>
      </c>
      <c r="S22" t="str">
        <f ca="1"/>
        <v>Written Off</v>
      </c>
      <c r="T22">
        <f ca="1"/>
        <v>1</v>
      </c>
      <c r="U22">
        <f ca="1"/>
        <v>554</v>
      </c>
      <c r="V22">
        <f ca="1"/>
        <v>0</v>
      </c>
    </row>
    <row r="23" spans="1:22" x14ac:dyDescent="0.25">
      <c r="A23" t="str">
        <f ca="1"/>
        <v>LN460437</v>
      </c>
      <c r="B23" t="str">
        <f ca="1"/>
        <v>CUS18330</v>
      </c>
      <c r="C23" t="str">
        <f ca="1"/>
        <v>BR001</v>
      </c>
      <c r="D23" t="str">
        <f ca="1"/>
        <v>Namutebi Sarah</v>
      </c>
      <c r="E23" t="str">
        <f ca="1"/>
        <v>Watch</v>
      </c>
      <c r="F23" t="str">
        <f ca="1"/>
        <v>Trade &amp; Commerce</v>
      </c>
      <c r="G23">
        <f ca="1"/>
        <v>0</v>
      </c>
      <c r="H23" s="26">
        <f ca="1"/>
        <v>0</v>
      </c>
      <c r="I23" t="str">
        <f ca="1"/>
        <v>Land Purchase</v>
      </c>
      <c r="J23" s="26">
        <f ca="1"/>
        <v>45138</v>
      </c>
      <c r="K23">
        <f ca="1"/>
        <v>5</v>
      </c>
      <c r="L23">
        <f ca="1"/>
        <v>45318</v>
      </c>
      <c r="M23">
        <f ca="1"/>
        <v>0</v>
      </c>
      <c r="N23">
        <f ca="1"/>
        <v>6</v>
      </c>
      <c r="O23">
        <f ca="1"/>
        <v>45322</v>
      </c>
      <c r="P23">
        <f ca="1"/>
        <v>489000000</v>
      </c>
      <c r="Q23">
        <f ca="1"/>
        <v>20.399999999999999</v>
      </c>
      <c r="R23">
        <f ca="1"/>
        <v>489000000</v>
      </c>
      <c r="S23" t="str">
        <f ca="1"/>
        <v>Written Off</v>
      </c>
      <c r="T23">
        <f ca="1"/>
        <v>1</v>
      </c>
      <c r="U23">
        <f ca="1"/>
        <v>298</v>
      </c>
      <c r="V23" t="str">
        <f ca="1"/>
        <v>Salary Assignment</v>
      </c>
    </row>
    <row r="24" spans="1:22" x14ac:dyDescent="0.25">
      <c r="A24" t="str">
        <f ca="1"/>
        <v>LN186686</v>
      </c>
      <c r="B24" t="str">
        <f ca="1"/>
        <v>CUS74454</v>
      </c>
      <c r="C24" t="str">
        <f ca="1"/>
        <v>BR001</v>
      </c>
      <c r="D24" t="str">
        <f ca="1"/>
        <v>Museveni Robert</v>
      </c>
      <c r="E24" t="str">
        <f ca="1"/>
        <v>Watch</v>
      </c>
      <c r="F24" t="str">
        <f ca="1"/>
        <v>Transport</v>
      </c>
      <c r="G24">
        <f ca="1"/>
        <v>0</v>
      </c>
      <c r="H24" s="26">
        <f ca="1"/>
        <v>0</v>
      </c>
      <c r="I24" t="str">
        <f ca="1"/>
        <v>Working Capital</v>
      </c>
      <c r="J24" s="26">
        <f ca="1"/>
        <v>44759</v>
      </c>
      <c r="K24">
        <f ca="1"/>
        <v>16</v>
      </c>
      <c r="L24">
        <f ca="1"/>
        <v>45267</v>
      </c>
      <c r="M24">
        <f ca="1"/>
        <v>0</v>
      </c>
      <c r="N24">
        <f ca="1"/>
        <v>12</v>
      </c>
      <c r="O24">
        <f ca="1"/>
        <v>45124</v>
      </c>
      <c r="P24">
        <f ca="1"/>
        <v>197000000</v>
      </c>
      <c r="Q24">
        <f ca="1"/>
        <v>21.9</v>
      </c>
      <c r="R24">
        <f ca="1"/>
        <v>197000000</v>
      </c>
      <c r="S24" t="str">
        <f ca="1"/>
        <v>Written Off</v>
      </c>
      <c r="T24">
        <f ca="1"/>
        <v>1</v>
      </c>
      <c r="U24">
        <f ca="1"/>
        <v>653</v>
      </c>
      <c r="V24" t="str">
        <f ca="1"/>
        <v>Business Assets</v>
      </c>
    </row>
    <row r="25" spans="1:22" x14ac:dyDescent="0.25">
      <c r="A25" t="str">
        <f ca="1"/>
        <v>LN821846</v>
      </c>
      <c r="B25" t="str">
        <f ca="1"/>
        <v>CUS47762</v>
      </c>
      <c r="C25" t="str">
        <f ca="1"/>
        <v>BR003</v>
      </c>
      <c r="D25" t="str">
        <f ca="1"/>
        <v>Ssemwogerere Paul</v>
      </c>
      <c r="E25" t="str">
        <f ca="1"/>
        <v>Watch</v>
      </c>
      <c r="F25" t="str">
        <f ca="1"/>
        <v>Trade &amp; Commerce</v>
      </c>
      <c r="G25">
        <f ca="1"/>
        <v>0</v>
      </c>
      <c r="H25" s="26">
        <f ca="1"/>
        <v>0</v>
      </c>
      <c r="I25" t="str">
        <f ca="1"/>
        <v>Education Fees</v>
      </c>
      <c r="J25" s="26">
        <f ca="1"/>
        <v>44519</v>
      </c>
      <c r="K25">
        <f ca="1"/>
        <v>23</v>
      </c>
      <c r="L25">
        <f ca="1"/>
        <v>45239</v>
      </c>
      <c r="M25">
        <f ca="1"/>
        <v>0</v>
      </c>
      <c r="N25">
        <f ca="1"/>
        <v>24</v>
      </c>
      <c r="O25">
        <f ca="1"/>
        <v>45249</v>
      </c>
      <c r="P25">
        <f ca="1"/>
        <v>3272000000</v>
      </c>
      <c r="Q25">
        <f ca="1"/>
        <v>14.8</v>
      </c>
      <c r="R25">
        <f ca="1"/>
        <v>1210000000</v>
      </c>
      <c r="S25" t="str">
        <f ca="1"/>
        <v>NPL</v>
      </c>
      <c r="T25">
        <f ca="1"/>
        <v>1</v>
      </c>
      <c r="U25">
        <f ca="1"/>
        <v>640</v>
      </c>
      <c r="V25" t="str">
        <f ca="1"/>
        <v>Vehicle Logbook</v>
      </c>
    </row>
    <row r="26" spans="1:22" x14ac:dyDescent="0.25">
      <c r="A26" t="str">
        <f ca="1"/>
        <v>LN281649</v>
      </c>
      <c r="B26" t="str">
        <f ca="1"/>
        <v>CUS71524</v>
      </c>
      <c r="C26" t="str">
        <f ca="1"/>
        <v>BR003</v>
      </c>
      <c r="D26" t="str">
        <f ca="1"/>
        <v>Okello James</v>
      </c>
      <c r="E26" t="str">
        <f ca="1"/>
        <v>Watch</v>
      </c>
      <c r="F26" t="str">
        <f ca="1"/>
        <v>Transport</v>
      </c>
      <c r="G26">
        <f ca="1"/>
        <v>0</v>
      </c>
      <c r="H26" s="26">
        <f ca="1"/>
        <v>0</v>
      </c>
      <c r="I26" t="str">
        <f ca="1"/>
        <v>Home Improvement</v>
      </c>
      <c r="J26" s="26">
        <f ca="1"/>
        <v>44580</v>
      </c>
      <c r="K26">
        <f ca="1"/>
        <v>17</v>
      </c>
      <c r="L26">
        <f ca="1"/>
        <v>45120</v>
      </c>
      <c r="M26">
        <f ca="1"/>
        <v>0</v>
      </c>
      <c r="N26">
        <f ca="1"/>
        <v>18</v>
      </c>
      <c r="O26">
        <f ca="1"/>
        <v>45126</v>
      </c>
      <c r="P26">
        <f ca="1"/>
        <v>367000000</v>
      </c>
      <c r="Q26">
        <f ca="1"/>
        <v>27.3</v>
      </c>
      <c r="R26">
        <f ca="1"/>
        <v>367000000</v>
      </c>
      <c r="S26" t="str">
        <f ca="1"/>
        <v>Written Off</v>
      </c>
      <c r="T26">
        <f ca="1"/>
        <v>1</v>
      </c>
      <c r="U26">
        <f ca="1"/>
        <v>230</v>
      </c>
      <c r="V26" t="str">
        <f ca="1"/>
        <v>Fixed Deposit</v>
      </c>
    </row>
    <row r="27" spans="1:22" x14ac:dyDescent="0.25">
      <c r="A27" t="str">
        <f ca="1"/>
        <v>LN934883</v>
      </c>
      <c r="B27" t="str">
        <f ca="1"/>
        <v>CUS88504</v>
      </c>
      <c r="C27" t="str">
        <f ca="1"/>
        <v>BR007</v>
      </c>
      <c r="D27" t="str">
        <f ca="1"/>
        <v>Apio Grace</v>
      </c>
      <c r="E27" t="str">
        <f ca="1"/>
        <v>Watch</v>
      </c>
      <c r="F27" t="str">
        <f ca="1"/>
        <v>Personal Loans</v>
      </c>
      <c r="G27" t="str">
        <f ca="1"/>
        <v>Personal Loans</v>
      </c>
      <c r="H27" s="26">
        <f ca="1"/>
        <v>23</v>
      </c>
      <c r="I27" t="str">
        <f ca="1"/>
        <v>Debt Refinancing</v>
      </c>
      <c r="J27" s="26">
        <f ca="1"/>
        <v>44628</v>
      </c>
      <c r="K27">
        <f ca="1"/>
        <v>10</v>
      </c>
      <c r="L27">
        <f ca="1"/>
        <v>44956</v>
      </c>
      <c r="M27">
        <f ca="1"/>
        <v>0</v>
      </c>
      <c r="N27">
        <f ca="1"/>
        <v>6</v>
      </c>
      <c r="O27">
        <f ca="1"/>
        <v>44812</v>
      </c>
      <c r="P27">
        <f ca="1"/>
        <v>3571000000</v>
      </c>
      <c r="Q27">
        <f ca="1"/>
        <v>25.2</v>
      </c>
      <c r="R27">
        <f ca="1"/>
        <v>3571000000</v>
      </c>
      <c r="S27" t="str">
        <f ca="1"/>
        <v>Written Off</v>
      </c>
      <c r="T27">
        <f ca="1"/>
        <v>1</v>
      </c>
      <c r="U27">
        <f ca="1"/>
        <v>589</v>
      </c>
      <c r="V27" t="str">
        <f ca="1"/>
        <v>Land Title</v>
      </c>
    </row>
    <row r="28" spans="1:22" x14ac:dyDescent="0.25">
      <c r="A28" t="str">
        <f ca="1"/>
        <v>LN606990</v>
      </c>
      <c r="B28" t="str">
        <f ca="1"/>
        <v>CUS47196</v>
      </c>
      <c r="C28" t="str">
        <f ca="1"/>
        <v>BR001</v>
      </c>
      <c r="D28" t="str">
        <f ca="1"/>
        <v>Museveni Robert</v>
      </c>
      <c r="E28" t="str">
        <f ca="1"/>
        <v>Watch</v>
      </c>
      <c r="F28" t="str">
        <f ca="1"/>
        <v>SME</v>
      </c>
      <c r="G28">
        <f ca="1"/>
        <v>0</v>
      </c>
      <c r="H28" s="26">
        <f ca="1"/>
        <v>0</v>
      </c>
      <c r="I28" t="str">
        <f ca="1"/>
        <v>Education Fees</v>
      </c>
      <c r="J28" s="26">
        <f ca="1"/>
        <v>44444</v>
      </c>
      <c r="K28">
        <f ca="1"/>
        <v>13</v>
      </c>
      <c r="L28">
        <f ca="1"/>
        <v>44865</v>
      </c>
      <c r="M28">
        <f ca="1"/>
        <v>0</v>
      </c>
      <c r="N28">
        <f ca="1"/>
        <v>18</v>
      </c>
      <c r="O28">
        <f ca="1"/>
        <v>44990</v>
      </c>
      <c r="P28">
        <f ca="1"/>
        <v>850000000</v>
      </c>
      <c r="Q28">
        <f ca="1"/>
        <v>16.899999999999999</v>
      </c>
      <c r="R28">
        <f ca="1"/>
        <v>511000000</v>
      </c>
      <c r="S28" t="str">
        <f ca="1"/>
        <v>NPL</v>
      </c>
      <c r="T28">
        <f ca="1"/>
        <v>1</v>
      </c>
      <c r="U28">
        <f ca="1"/>
        <v>556</v>
      </c>
      <c r="V28" t="str">
        <f ca="1"/>
        <v>Land Title</v>
      </c>
    </row>
    <row r="29" spans="1:22" x14ac:dyDescent="0.25">
      <c r="A29" t="str">
        <f ca="1"/>
        <v>LN382271</v>
      </c>
      <c r="B29" t="str">
        <f ca="1"/>
        <v>CUS96474</v>
      </c>
      <c r="C29" t="str">
        <f ca="1"/>
        <v>BR008</v>
      </c>
      <c r="D29" t="str">
        <f ca="1"/>
        <v>Bwogi Kenneth</v>
      </c>
      <c r="E29" t="str">
        <f ca="1"/>
        <v>Watch</v>
      </c>
      <c r="F29" t="str">
        <f ca="1"/>
        <v>Agriculture</v>
      </c>
      <c r="G29">
        <f ca="1"/>
        <v>0</v>
      </c>
      <c r="H29" s="26">
        <f ca="1"/>
        <v>0</v>
      </c>
      <c r="I29" t="str">
        <f ca="1"/>
        <v>Education Fees</v>
      </c>
      <c r="J29" s="26">
        <f ca="1"/>
        <v>44293</v>
      </c>
      <c r="K29">
        <f ca="1"/>
        <v>14</v>
      </c>
      <c r="L29">
        <f ca="1"/>
        <v>44741</v>
      </c>
      <c r="M29">
        <f ca="1"/>
        <v>0</v>
      </c>
      <c r="N29">
        <f ca="1"/>
        <v>12</v>
      </c>
      <c r="O29">
        <f ca="1"/>
        <v>44658</v>
      </c>
      <c r="P29">
        <f ca="1"/>
        <v>302000000</v>
      </c>
      <c r="Q29">
        <f ca="1"/>
        <v>19.899999999999999</v>
      </c>
      <c r="R29">
        <f ca="1"/>
        <v>302000000</v>
      </c>
      <c r="S29" t="str">
        <f ca="1"/>
        <v>Written Off</v>
      </c>
      <c r="T29">
        <f ca="1"/>
        <v>1</v>
      </c>
      <c r="U29">
        <f ca="1"/>
        <v>471</v>
      </c>
      <c r="V29" t="str">
        <f ca="1"/>
        <v>Insurance Policy</v>
      </c>
    </row>
    <row r="30" spans="1:22" x14ac:dyDescent="0.25">
      <c r="A30" t="str">
        <f ca="1"/>
        <v>LN514828</v>
      </c>
      <c r="B30" t="str">
        <f ca="1"/>
        <v>CUS39817</v>
      </c>
      <c r="C30" t="str">
        <f ca="1"/>
        <v>BR001</v>
      </c>
      <c r="D30" t="str">
        <f ca="1"/>
        <v>Nanteza Florence</v>
      </c>
      <c r="E30" t="str">
        <f ca="1"/>
        <v>Watch</v>
      </c>
      <c r="F30" t="str">
        <f ca="1"/>
        <v>Healthcare</v>
      </c>
      <c r="G30">
        <f ca="1"/>
        <v>0</v>
      </c>
      <c r="H30" s="26">
        <f ca="1"/>
        <v>0</v>
      </c>
      <c r="I30" t="str">
        <f ca="1"/>
        <v>Medical Expenses</v>
      </c>
      <c r="J30" s="26">
        <f ca="1"/>
        <v>44504</v>
      </c>
      <c r="K30">
        <f ca="1"/>
        <v>7</v>
      </c>
      <c r="L30">
        <f ca="1"/>
        <v>44716</v>
      </c>
      <c r="M30">
        <f ca="1"/>
        <v>0</v>
      </c>
      <c r="N30">
        <f ca="1"/>
        <v>12</v>
      </c>
      <c r="O30">
        <f ca="1"/>
        <v>44869</v>
      </c>
      <c r="P30">
        <f ca="1"/>
        <v>275000000</v>
      </c>
      <c r="Q30">
        <f ca="1"/>
        <v>24.8</v>
      </c>
      <c r="R30">
        <f ca="1"/>
        <v>147000000</v>
      </c>
      <c r="S30" t="str">
        <f ca="1"/>
        <v>NPL</v>
      </c>
      <c r="T30">
        <f ca="1"/>
        <v>1</v>
      </c>
      <c r="U30">
        <f ca="1"/>
        <v>523</v>
      </c>
      <c r="V30" t="str">
        <f ca="1"/>
        <v>LPO</v>
      </c>
    </row>
    <row r="31" spans="1:22" x14ac:dyDescent="0.25">
      <c r="A31" t="str">
        <f ca="1"/>
        <v>LN259797</v>
      </c>
      <c r="B31" t="str">
        <f ca="1"/>
        <v>CUS74454</v>
      </c>
      <c r="C31" t="str">
        <f ca="1"/>
        <v>BR006</v>
      </c>
      <c r="D31" t="str">
        <f ca="1"/>
        <v>Ssemwogerere Paul</v>
      </c>
      <c r="E31" t="str">
        <f ca="1"/>
        <v>Watch</v>
      </c>
      <c r="F31" t="str">
        <f ca="1"/>
        <v>Healthcare</v>
      </c>
      <c r="G31">
        <f ca="1"/>
        <v>0</v>
      </c>
      <c r="H31" s="26">
        <f ca="1"/>
        <v>0</v>
      </c>
      <c r="I31" t="str">
        <f ca="1"/>
        <v>Home Improvement</v>
      </c>
      <c r="J31" s="26">
        <f ca="1"/>
        <v>44470</v>
      </c>
      <c r="K31">
        <f ca="1"/>
        <v>6</v>
      </c>
      <c r="L31">
        <f ca="1"/>
        <v>44658</v>
      </c>
      <c r="M31">
        <f ca="1"/>
        <v>0</v>
      </c>
      <c r="N31">
        <f ca="1"/>
        <v>18</v>
      </c>
      <c r="O31">
        <f ca="1"/>
        <v>45017</v>
      </c>
      <c r="P31">
        <f ca="1"/>
        <v>2314000000</v>
      </c>
      <c r="Q31">
        <f ca="1"/>
        <v>24.4</v>
      </c>
      <c r="R31">
        <f ca="1"/>
        <v>2314000000</v>
      </c>
      <c r="S31" t="str">
        <f ca="1"/>
        <v>Written Off</v>
      </c>
      <c r="T31">
        <f ca="1"/>
        <v>1</v>
      </c>
      <c r="U31">
        <f ca="1"/>
        <v>374</v>
      </c>
      <c r="V31" t="str">
        <f ca="1"/>
        <v>None</v>
      </c>
    </row>
    <row r="32" spans="1:22" x14ac:dyDescent="0.25">
      <c r="A32" t="str">
        <f ca="1"/>
        <v>LN363871</v>
      </c>
      <c r="B32" t="str">
        <f ca="1"/>
        <v>CUS17355</v>
      </c>
      <c r="C32" t="str">
        <f ca="1"/>
        <v>BR002</v>
      </c>
      <c r="D32" t="str">
        <f ca="1"/>
        <v>Museveni Robert</v>
      </c>
      <c r="E32" t="str">
        <f ca="1"/>
        <v>Watch</v>
      </c>
      <c r="F32" t="str">
        <f ca="1"/>
        <v>Manufacturing</v>
      </c>
      <c r="G32" t="str">
        <f ca="1"/>
        <v>Manufacturing</v>
      </c>
      <c r="H32" s="26">
        <f ca="1"/>
        <v>19</v>
      </c>
      <c r="I32" t="str">
        <f ca="1"/>
        <v>Salary Advance</v>
      </c>
      <c r="J32" s="26">
        <f ca="1"/>
        <v>44407</v>
      </c>
      <c r="K32">
        <f ca="1"/>
        <v>5</v>
      </c>
      <c r="L32">
        <f ca="1"/>
        <v>44587</v>
      </c>
      <c r="M32">
        <f ca="1"/>
        <v>0</v>
      </c>
      <c r="N32">
        <f ca="1"/>
        <v>6</v>
      </c>
      <c r="O32">
        <f ca="1"/>
        <v>44591</v>
      </c>
      <c r="P32">
        <f ca="1"/>
        <v>4376000000</v>
      </c>
      <c r="Q32">
        <f ca="1"/>
        <v>14.8</v>
      </c>
      <c r="R32">
        <f ca="1"/>
        <v>4376000000</v>
      </c>
      <c r="S32" t="str">
        <f ca="1"/>
        <v>Written Off</v>
      </c>
      <c r="T32">
        <f ca="1"/>
        <v>1</v>
      </c>
      <c r="U32">
        <f ca="1"/>
        <v>627</v>
      </c>
      <c r="V32" t="str">
        <f ca="1"/>
        <v>Vehicle Logbook</v>
      </c>
    </row>
  </sheetData>
  <autoFilter ref="A1:T1" xr:uid="{8E909CB3-413D-483E-B74B-F53CA7CD275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E84855"/>
  </sheetPr>
  <dimension ref="A1:W201"/>
  <sheetViews>
    <sheetView topLeftCell="B1" workbookViewId="0">
      <pane ySplit="1" topLeftCell="A2" activePane="bottomLeft" state="frozen"/>
      <selection pane="bottomLeft" activeCell="H16" sqref="H16"/>
    </sheetView>
  </sheetViews>
  <sheetFormatPr defaultRowHeight="15" x14ac:dyDescent="0.25"/>
  <cols>
    <col min="1" max="3" width="14" customWidth="1"/>
    <col min="4" max="5" width="22" customWidth="1"/>
    <col min="6" max="8" width="18" customWidth="1"/>
    <col min="9" max="9" width="22" customWidth="1"/>
    <col min="10" max="10" width="18" style="20" customWidth="1"/>
    <col min="11" max="11" width="18" customWidth="1"/>
    <col min="12" max="12" width="18" style="22" customWidth="1"/>
    <col min="13" max="13" width="18" style="25" customWidth="1"/>
    <col min="14" max="15" width="14" customWidth="1"/>
    <col min="16" max="16" width="24" customWidth="1"/>
    <col min="17" max="17" width="14" customWidth="1"/>
    <col min="18" max="18" width="24" customWidth="1"/>
    <col min="19" max="19" width="16" customWidth="1"/>
    <col min="20" max="20" width="10" customWidth="1"/>
    <col min="21" max="21" width="14" customWidth="1"/>
    <col min="22" max="22" width="22" customWidth="1"/>
    <col min="23" max="23" width="14" customWidth="1"/>
  </cols>
  <sheetData>
    <row r="1" spans="1:23" ht="45" x14ac:dyDescent="0.25">
      <c r="A1" s="5" t="s">
        <v>643</v>
      </c>
      <c r="B1" s="5" t="s">
        <v>80</v>
      </c>
      <c r="C1" s="5" t="s">
        <v>17</v>
      </c>
      <c r="D1" s="16" t="s">
        <v>644</v>
      </c>
      <c r="E1" s="14" t="s">
        <v>1744</v>
      </c>
      <c r="F1" s="5" t="s">
        <v>645</v>
      </c>
      <c r="G1" s="14" t="s">
        <v>1750</v>
      </c>
      <c r="H1" s="14" t="s">
        <v>1751</v>
      </c>
      <c r="I1" s="5" t="s">
        <v>646</v>
      </c>
      <c r="J1" s="19" t="s">
        <v>647</v>
      </c>
      <c r="K1" s="14" t="s">
        <v>1747</v>
      </c>
      <c r="L1" s="21" t="s">
        <v>648</v>
      </c>
      <c r="M1" s="24" t="s">
        <v>1748</v>
      </c>
      <c r="N1" s="5" t="s">
        <v>649</v>
      </c>
      <c r="O1" s="14" t="s">
        <v>1749</v>
      </c>
      <c r="P1" s="5" t="s">
        <v>650</v>
      </c>
      <c r="Q1" s="5" t="s">
        <v>651</v>
      </c>
      <c r="R1" s="5" t="s">
        <v>652</v>
      </c>
      <c r="S1" s="5" t="s">
        <v>653</v>
      </c>
      <c r="T1" s="5" t="s">
        <v>654</v>
      </c>
      <c r="U1" s="5" t="s">
        <v>655</v>
      </c>
      <c r="V1" s="5" t="s">
        <v>656</v>
      </c>
      <c r="W1" s="27"/>
    </row>
    <row r="2" spans="1:23" x14ac:dyDescent="0.25">
      <c r="A2" t="s">
        <v>715</v>
      </c>
      <c r="B2" t="s">
        <v>502</v>
      </c>
      <c r="C2" t="s">
        <v>33</v>
      </c>
      <c r="D2" t="s">
        <v>707</v>
      </c>
      <c r="E2" t="str" cm="1">
        <f t="array" ref="E2">_xlfn.IFS(T2=0, "Performing", T2&lt;=30, "Watch", T2&lt;=90, "Substandard", T2&gt;90, "Non-Performing")</f>
        <v>Watch</v>
      </c>
      <c r="F2" t="s">
        <v>709</v>
      </c>
      <c r="G2" t="str" cm="1">
        <f t="array" ref="G2:G12">_xlfn.UNIQUE(Loan_Applications!F2:F201)</f>
        <v>Education</v>
      </c>
      <c r="H2" cm="1">
        <f t="array" ref="H2:H12">COUNTIF(Loan_Applications!$F$2:$F$201, _xlfn.UNIQUE(Loan_Applications!F2:F201))</f>
        <v>13</v>
      </c>
      <c r="I2" t="s">
        <v>674</v>
      </c>
      <c r="J2" s="20">
        <v>45274</v>
      </c>
      <c r="K2">
        <f t="shared" ref="K2:K33" si="0">IF(J2 &gt; L2, 0, DATEDIF(J2, L2, "m"))</f>
        <v>35</v>
      </c>
      <c r="L2" s="22">
        <v>46354</v>
      </c>
      <c r="M2" s="28">
        <f t="shared" ref="M2:M33" ca="1" si="1">MAX(0, L2 - TODAY())</f>
        <v>201</v>
      </c>
      <c r="N2">
        <v>36</v>
      </c>
      <c r="O2" s="26">
        <f t="shared" ref="O2:O33" si="2">EDATE(J2, N2)</f>
        <v>46370</v>
      </c>
      <c r="P2">
        <v>4658000000</v>
      </c>
      <c r="Q2">
        <v>14.3</v>
      </c>
      <c r="R2">
        <v>4658000000</v>
      </c>
      <c r="S2" t="s">
        <v>684</v>
      </c>
      <c r="T2">
        <v>1</v>
      </c>
      <c r="U2">
        <v>135</v>
      </c>
      <c r="V2" t="s">
        <v>716</v>
      </c>
    </row>
    <row r="3" spans="1:23" x14ac:dyDescent="0.25">
      <c r="A3" t="s">
        <v>895</v>
      </c>
      <c r="B3" t="s">
        <v>543</v>
      </c>
      <c r="C3" t="s">
        <v>33</v>
      </c>
      <c r="D3" t="s">
        <v>673</v>
      </c>
      <c r="E3" t="str" cm="1">
        <f t="array" ref="E3">_xlfn.IFS(T3=0, "Performing", T3&lt;=30, "Watch", T3&lt;=90, "Substandard", T3&gt;90, "Non-Performing")</f>
        <v>Watch</v>
      </c>
      <c r="F3" t="s">
        <v>687</v>
      </c>
      <c r="G3" t="str">
        <v>Manufacturing</v>
      </c>
      <c r="H3">
        <v>19</v>
      </c>
      <c r="I3" t="s">
        <v>660</v>
      </c>
      <c r="J3" s="20">
        <v>44407</v>
      </c>
      <c r="K3">
        <f t="shared" si="0"/>
        <v>5</v>
      </c>
      <c r="L3" s="22">
        <v>44587</v>
      </c>
      <c r="M3" s="28">
        <f t="shared" ca="1" si="1"/>
        <v>0</v>
      </c>
      <c r="N3">
        <v>6</v>
      </c>
      <c r="O3" s="26">
        <f t="shared" si="2"/>
        <v>44591</v>
      </c>
      <c r="P3">
        <v>4376000000</v>
      </c>
      <c r="Q3">
        <v>14.8</v>
      </c>
      <c r="R3">
        <v>4376000000</v>
      </c>
      <c r="S3" t="s">
        <v>684</v>
      </c>
      <c r="T3">
        <v>1</v>
      </c>
      <c r="U3">
        <v>627</v>
      </c>
      <c r="V3" t="s">
        <v>662</v>
      </c>
    </row>
    <row r="4" spans="1:23" x14ac:dyDescent="0.25">
      <c r="A4" t="s">
        <v>886</v>
      </c>
      <c r="B4" t="s">
        <v>380</v>
      </c>
      <c r="C4" t="s">
        <v>67</v>
      </c>
      <c r="D4" t="s">
        <v>682</v>
      </c>
      <c r="E4" t="str" cm="1">
        <f t="array" ref="E4">_xlfn.IFS(T4=0, "Performing", T4&lt;=30, "Watch", T4&lt;=90, "Substandard", T4&gt;90, "Non-Performing")</f>
        <v>Watch</v>
      </c>
      <c r="F4" t="s">
        <v>111</v>
      </c>
      <c r="G4" t="str">
        <v>SME</v>
      </c>
      <c r="H4">
        <v>19</v>
      </c>
      <c r="I4" t="s">
        <v>671</v>
      </c>
      <c r="J4" s="20">
        <v>44892</v>
      </c>
      <c r="K4">
        <f t="shared" si="0"/>
        <v>59</v>
      </c>
      <c r="L4" s="22">
        <v>46692</v>
      </c>
      <c r="M4" s="28">
        <f t="shared" ca="1" si="1"/>
        <v>539</v>
      </c>
      <c r="N4">
        <v>60</v>
      </c>
      <c r="O4" s="26">
        <f t="shared" si="2"/>
        <v>46718</v>
      </c>
      <c r="P4">
        <v>4274000000</v>
      </c>
      <c r="Q4">
        <v>26.1</v>
      </c>
      <c r="R4">
        <v>4274000000</v>
      </c>
      <c r="S4" t="s">
        <v>684</v>
      </c>
      <c r="T4">
        <v>1</v>
      </c>
      <c r="U4">
        <v>210</v>
      </c>
      <c r="V4" t="s">
        <v>699</v>
      </c>
    </row>
    <row r="5" spans="1:23" x14ac:dyDescent="0.25">
      <c r="A5" t="s">
        <v>751</v>
      </c>
      <c r="B5" t="s">
        <v>336</v>
      </c>
      <c r="C5" t="s">
        <v>46</v>
      </c>
      <c r="D5" t="s">
        <v>752</v>
      </c>
      <c r="E5" t="str" cm="1">
        <f t="array" ref="E5">_xlfn.IFS(T5=0, "Performing", T5&lt;=30, "Watch", T5&lt;=90, "Substandard", T5&gt;90, "Non-Performing")</f>
        <v>Performing</v>
      </c>
      <c r="F5" t="s">
        <v>659</v>
      </c>
      <c r="G5" t="str">
        <v>Trade &amp; Commerce</v>
      </c>
      <c r="H5">
        <v>28</v>
      </c>
      <c r="I5" t="s">
        <v>691</v>
      </c>
      <c r="J5" s="20">
        <v>44825</v>
      </c>
      <c r="K5">
        <f t="shared" si="0"/>
        <v>11</v>
      </c>
      <c r="L5" s="22">
        <v>45185</v>
      </c>
      <c r="M5" s="28">
        <f t="shared" ca="1" si="1"/>
        <v>0</v>
      </c>
      <c r="N5">
        <v>12</v>
      </c>
      <c r="O5" s="26">
        <f t="shared" si="2"/>
        <v>45190</v>
      </c>
      <c r="P5">
        <v>4616000000</v>
      </c>
      <c r="Q5">
        <v>24.8</v>
      </c>
      <c r="R5">
        <v>3897000000</v>
      </c>
      <c r="S5" t="s">
        <v>667</v>
      </c>
      <c r="T5">
        <v>0</v>
      </c>
      <c r="U5">
        <v>0</v>
      </c>
      <c r="V5" t="s">
        <v>699</v>
      </c>
    </row>
    <row r="6" spans="1:23" x14ac:dyDescent="0.25">
      <c r="A6" t="s">
        <v>863</v>
      </c>
      <c r="B6" t="s">
        <v>176</v>
      </c>
      <c r="C6" t="s">
        <v>67</v>
      </c>
      <c r="D6" t="s">
        <v>701</v>
      </c>
      <c r="E6" t="str" cm="1">
        <f t="array" ref="E6">_xlfn.IFS(T6=0, "Performing", T6&lt;=30, "Watch", T6&lt;=90, "Substandard", T6&gt;90, "Non-Performing")</f>
        <v>Watch</v>
      </c>
      <c r="F6" t="s">
        <v>665</v>
      </c>
      <c r="G6" t="str">
        <v>Personal Loans</v>
      </c>
      <c r="H6">
        <v>23</v>
      </c>
      <c r="I6" t="s">
        <v>683</v>
      </c>
      <c r="J6" s="20">
        <v>44628</v>
      </c>
      <c r="K6">
        <f t="shared" si="0"/>
        <v>10</v>
      </c>
      <c r="L6" s="22">
        <v>44956</v>
      </c>
      <c r="M6" s="28">
        <f t="shared" ca="1" si="1"/>
        <v>0</v>
      </c>
      <c r="N6">
        <v>6</v>
      </c>
      <c r="O6" s="26">
        <f t="shared" si="2"/>
        <v>44812</v>
      </c>
      <c r="P6">
        <v>3571000000</v>
      </c>
      <c r="Q6">
        <v>25.2</v>
      </c>
      <c r="R6">
        <v>3571000000</v>
      </c>
      <c r="S6" t="s">
        <v>684</v>
      </c>
      <c r="T6">
        <v>1</v>
      </c>
      <c r="U6">
        <v>589</v>
      </c>
      <c r="V6" t="s">
        <v>676</v>
      </c>
    </row>
    <row r="7" spans="1:23" x14ac:dyDescent="0.25">
      <c r="A7" t="s">
        <v>824</v>
      </c>
      <c r="B7" t="s">
        <v>615</v>
      </c>
      <c r="C7" t="s">
        <v>67</v>
      </c>
      <c r="D7" t="s">
        <v>678</v>
      </c>
      <c r="E7" t="str" cm="1">
        <f t="array" ref="E7">_xlfn.IFS(T7=0, "Performing", T7&lt;=30, "Watch", T7&lt;=90, "Substandard", T7&gt;90, "Non-Performing")</f>
        <v>Performing</v>
      </c>
      <c r="F7" t="s">
        <v>659</v>
      </c>
      <c r="G7" t="str">
        <v>Healthcare</v>
      </c>
      <c r="H7">
        <v>25</v>
      </c>
      <c r="I7" t="s">
        <v>680</v>
      </c>
      <c r="J7" s="20">
        <v>44476</v>
      </c>
      <c r="K7">
        <f t="shared" si="0"/>
        <v>14</v>
      </c>
      <c r="L7" s="22">
        <v>44927</v>
      </c>
      <c r="M7" s="28">
        <f t="shared" ca="1" si="1"/>
        <v>0</v>
      </c>
      <c r="N7">
        <v>18</v>
      </c>
      <c r="O7" s="26">
        <f t="shared" si="2"/>
        <v>45023</v>
      </c>
      <c r="P7">
        <v>4454000000</v>
      </c>
      <c r="Q7">
        <v>14.4</v>
      </c>
      <c r="R7">
        <v>3570000000</v>
      </c>
      <c r="S7" t="s">
        <v>667</v>
      </c>
      <c r="T7">
        <v>0</v>
      </c>
      <c r="U7">
        <v>0</v>
      </c>
      <c r="V7" t="s">
        <v>716</v>
      </c>
    </row>
    <row r="8" spans="1:23" x14ac:dyDescent="0.25">
      <c r="A8" t="s">
        <v>780</v>
      </c>
      <c r="B8" t="s">
        <v>547</v>
      </c>
      <c r="C8" t="s">
        <v>60</v>
      </c>
      <c r="D8" t="s">
        <v>664</v>
      </c>
      <c r="E8" t="str" cm="1">
        <f t="array" ref="E8">_xlfn.IFS(T8=0, "Performing", T8&lt;=30, "Watch", T8&lt;=90, "Substandard", T8&gt;90, "Non-Performing")</f>
        <v>Performing</v>
      </c>
      <c r="F8" t="s">
        <v>659</v>
      </c>
      <c r="G8" t="str">
        <v>Real Estate</v>
      </c>
      <c r="H8">
        <v>16</v>
      </c>
      <c r="I8" t="s">
        <v>745</v>
      </c>
      <c r="J8" s="20">
        <v>44398</v>
      </c>
      <c r="K8">
        <f t="shared" si="0"/>
        <v>28</v>
      </c>
      <c r="L8" s="22">
        <v>45261</v>
      </c>
      <c r="M8" s="28">
        <f t="shared" ca="1" si="1"/>
        <v>0</v>
      </c>
      <c r="N8">
        <v>18</v>
      </c>
      <c r="O8" s="26">
        <f t="shared" si="2"/>
        <v>44947</v>
      </c>
      <c r="P8">
        <v>4749000000</v>
      </c>
      <c r="Q8">
        <v>22.1</v>
      </c>
      <c r="R8">
        <v>3567000000</v>
      </c>
      <c r="S8" t="s">
        <v>692</v>
      </c>
      <c r="T8">
        <v>0</v>
      </c>
      <c r="U8">
        <v>54</v>
      </c>
      <c r="V8" t="s">
        <v>716</v>
      </c>
    </row>
    <row r="9" spans="1:23" x14ac:dyDescent="0.25">
      <c r="A9" t="s">
        <v>672</v>
      </c>
      <c r="B9" t="s">
        <v>366</v>
      </c>
      <c r="C9" t="s">
        <v>53</v>
      </c>
      <c r="D9" t="s">
        <v>673</v>
      </c>
      <c r="E9" t="str" cm="1">
        <f t="array" ref="E9">_xlfn.IFS(T9=0, "Performing", T9&lt;=30, "Watch", T9&lt;=90, "Substandard", T9&gt;90, "Non-Performing")</f>
        <v>Performing</v>
      </c>
      <c r="F9" t="s">
        <v>665</v>
      </c>
      <c r="G9" t="str">
        <v>Tourism</v>
      </c>
      <c r="H9">
        <v>20</v>
      </c>
      <c r="I9" t="s">
        <v>674</v>
      </c>
      <c r="J9" s="20">
        <v>44785</v>
      </c>
      <c r="K9">
        <f t="shared" si="0"/>
        <v>27</v>
      </c>
      <c r="L9" s="22">
        <v>45623</v>
      </c>
      <c r="M9" s="28">
        <f t="shared" ca="1" si="1"/>
        <v>0</v>
      </c>
      <c r="N9">
        <v>24</v>
      </c>
      <c r="O9" s="26">
        <f t="shared" si="2"/>
        <v>45516</v>
      </c>
      <c r="P9">
        <v>4486000000</v>
      </c>
      <c r="Q9">
        <v>23.3</v>
      </c>
      <c r="R9">
        <v>3371000000</v>
      </c>
      <c r="S9" t="s">
        <v>675</v>
      </c>
      <c r="T9">
        <v>0</v>
      </c>
      <c r="U9">
        <v>0</v>
      </c>
      <c r="V9" t="s">
        <v>676</v>
      </c>
    </row>
    <row r="10" spans="1:23" x14ac:dyDescent="0.25">
      <c r="A10" t="s">
        <v>738</v>
      </c>
      <c r="B10" t="s">
        <v>639</v>
      </c>
      <c r="C10" t="s">
        <v>60</v>
      </c>
      <c r="D10" t="s">
        <v>678</v>
      </c>
      <c r="E10" t="str" cm="1">
        <f t="array" ref="E10">_xlfn.IFS(T10=0, "Performing", T10&lt;=30, "Watch", T10&lt;=90, "Substandard", T10&gt;90, "Non-Performing")</f>
        <v>Performing</v>
      </c>
      <c r="F10" t="s">
        <v>679</v>
      </c>
      <c r="G10" t="str">
        <v>Agriculture</v>
      </c>
      <c r="H10">
        <v>16</v>
      </c>
      <c r="I10" t="s">
        <v>666</v>
      </c>
      <c r="J10" s="20">
        <v>44690</v>
      </c>
      <c r="K10">
        <f t="shared" si="0"/>
        <v>39</v>
      </c>
      <c r="L10" s="22">
        <v>45889</v>
      </c>
      <c r="M10" s="28">
        <f t="shared" ca="1" si="1"/>
        <v>0</v>
      </c>
      <c r="N10">
        <v>36</v>
      </c>
      <c r="O10" s="26">
        <f t="shared" si="2"/>
        <v>45786</v>
      </c>
      <c r="P10">
        <v>4675000000</v>
      </c>
      <c r="Q10">
        <v>20.9</v>
      </c>
      <c r="R10">
        <v>3180000000</v>
      </c>
      <c r="S10" t="s">
        <v>692</v>
      </c>
      <c r="T10">
        <v>0</v>
      </c>
      <c r="U10">
        <v>83</v>
      </c>
      <c r="V10" t="s">
        <v>676</v>
      </c>
    </row>
    <row r="11" spans="1:23" x14ac:dyDescent="0.25">
      <c r="A11" t="s">
        <v>725</v>
      </c>
      <c r="B11" t="s">
        <v>340</v>
      </c>
      <c r="C11" t="s">
        <v>60</v>
      </c>
      <c r="D11" t="s">
        <v>690</v>
      </c>
      <c r="E11" t="str" cm="1">
        <f t="array" ref="E11">_xlfn.IFS(T11=0, "Performing", T11&lt;=30, "Watch", T11&lt;=90, "Substandard", T11&gt;90, "Non-Performing")</f>
        <v>Performing</v>
      </c>
      <c r="F11" t="s">
        <v>659</v>
      </c>
      <c r="G11" t="str">
        <v>Transport</v>
      </c>
      <c r="H11">
        <v>16</v>
      </c>
      <c r="I11" t="s">
        <v>666</v>
      </c>
      <c r="J11" s="20">
        <v>44478</v>
      </c>
      <c r="K11">
        <f t="shared" si="0"/>
        <v>35</v>
      </c>
      <c r="L11" s="22">
        <v>45558</v>
      </c>
      <c r="M11" s="28">
        <f t="shared" ca="1" si="1"/>
        <v>0</v>
      </c>
      <c r="N11">
        <v>36</v>
      </c>
      <c r="O11" s="26">
        <f t="shared" si="2"/>
        <v>45574</v>
      </c>
      <c r="P11">
        <v>3075000000</v>
      </c>
      <c r="Q11">
        <v>17.899999999999999</v>
      </c>
      <c r="R11">
        <v>2850000000</v>
      </c>
      <c r="S11" t="s">
        <v>720</v>
      </c>
      <c r="T11">
        <v>0</v>
      </c>
      <c r="U11">
        <v>0</v>
      </c>
      <c r="V11" t="s">
        <v>668</v>
      </c>
    </row>
    <row r="12" spans="1:23" x14ac:dyDescent="0.25">
      <c r="A12" t="s">
        <v>732</v>
      </c>
      <c r="B12" t="s">
        <v>198</v>
      </c>
      <c r="C12" t="s">
        <v>60</v>
      </c>
      <c r="D12" t="s">
        <v>722</v>
      </c>
      <c r="E12" t="str" cm="1">
        <f t="array" ref="E12">_xlfn.IFS(T12=0, "Performing", T12&lt;=30, "Watch", T12&lt;=90, "Substandard", T12&gt;90, "Non-Performing")</f>
        <v>Watch</v>
      </c>
      <c r="F12" t="s">
        <v>709</v>
      </c>
      <c r="G12" t="str">
        <v>N/A</v>
      </c>
      <c r="H12">
        <v>5</v>
      </c>
      <c r="I12" t="s">
        <v>683</v>
      </c>
      <c r="J12" s="20">
        <v>44904</v>
      </c>
      <c r="K12">
        <f t="shared" si="0"/>
        <v>23</v>
      </c>
      <c r="L12" s="22">
        <v>45624</v>
      </c>
      <c r="M12" s="28">
        <f t="shared" ca="1" si="1"/>
        <v>0</v>
      </c>
      <c r="N12">
        <v>24</v>
      </c>
      <c r="O12" s="26">
        <f t="shared" si="2"/>
        <v>45635</v>
      </c>
      <c r="P12">
        <v>3535000000</v>
      </c>
      <c r="Q12">
        <v>21.9</v>
      </c>
      <c r="R12">
        <v>2589000000</v>
      </c>
      <c r="S12" t="s">
        <v>661</v>
      </c>
      <c r="T12">
        <v>1</v>
      </c>
      <c r="U12">
        <v>216</v>
      </c>
    </row>
    <row r="13" spans="1:23" x14ac:dyDescent="0.25">
      <c r="A13" t="s">
        <v>689</v>
      </c>
      <c r="B13" t="s">
        <v>306</v>
      </c>
      <c r="C13" t="s">
        <v>39</v>
      </c>
      <c r="D13" t="s">
        <v>690</v>
      </c>
      <c r="E13" t="str" cm="1">
        <f t="array" ref="E13">_xlfn.IFS(T13=0, "Performing", T13&lt;=30, "Watch", T13&lt;=90, "Substandard", T13&gt;90, "Non-Performing")</f>
        <v>Performing</v>
      </c>
      <c r="F13" t="s">
        <v>659</v>
      </c>
      <c r="I13" t="s">
        <v>691</v>
      </c>
      <c r="J13" s="20">
        <v>45102</v>
      </c>
      <c r="K13">
        <f t="shared" si="0"/>
        <v>45</v>
      </c>
      <c r="L13" s="22">
        <v>46483</v>
      </c>
      <c r="M13" s="28">
        <f t="shared" ca="1" si="1"/>
        <v>330</v>
      </c>
      <c r="N13">
        <v>48</v>
      </c>
      <c r="O13" s="26">
        <f t="shared" si="2"/>
        <v>46563</v>
      </c>
      <c r="P13">
        <v>2750000000</v>
      </c>
      <c r="Q13">
        <v>14.8</v>
      </c>
      <c r="R13">
        <v>2429000000</v>
      </c>
      <c r="S13" t="s">
        <v>692</v>
      </c>
      <c r="T13">
        <v>0</v>
      </c>
      <c r="U13">
        <v>60</v>
      </c>
      <c r="V13" t="s">
        <v>688</v>
      </c>
    </row>
    <row r="14" spans="1:23" x14ac:dyDescent="0.25">
      <c r="A14" t="s">
        <v>870</v>
      </c>
      <c r="B14" t="s">
        <v>449</v>
      </c>
      <c r="C14" t="s">
        <v>60</v>
      </c>
      <c r="D14" t="s">
        <v>686</v>
      </c>
      <c r="E14" t="str" cm="1">
        <f t="array" ref="E14">_xlfn.IFS(T14=0, "Performing", T14&lt;=30, "Watch", T14&lt;=90, "Substandard", T14&gt;90, "Non-Performing")</f>
        <v>Watch</v>
      </c>
      <c r="F14" t="s">
        <v>679</v>
      </c>
      <c r="I14" t="s">
        <v>727</v>
      </c>
      <c r="J14" s="20">
        <v>44470</v>
      </c>
      <c r="K14">
        <f t="shared" si="0"/>
        <v>6</v>
      </c>
      <c r="L14" s="22">
        <v>44658</v>
      </c>
      <c r="M14" s="28">
        <f t="shared" ca="1" si="1"/>
        <v>0</v>
      </c>
      <c r="N14">
        <v>18</v>
      </c>
      <c r="O14" s="26">
        <f t="shared" si="2"/>
        <v>45017</v>
      </c>
      <c r="P14">
        <v>2314000000</v>
      </c>
      <c r="Q14">
        <v>24.4</v>
      </c>
      <c r="R14">
        <v>2314000000</v>
      </c>
      <c r="S14" t="s">
        <v>684</v>
      </c>
      <c r="T14">
        <v>1</v>
      </c>
      <c r="U14">
        <v>374</v>
      </c>
      <c r="V14" t="s">
        <v>702</v>
      </c>
    </row>
    <row r="15" spans="1:23" x14ac:dyDescent="0.25">
      <c r="A15" t="s">
        <v>888</v>
      </c>
      <c r="B15" t="s">
        <v>235</v>
      </c>
      <c r="C15" t="s">
        <v>46</v>
      </c>
      <c r="E15" t="str" cm="1">
        <f t="array" ref="E15">_xlfn.IFS(T15=0, "Performing", T15&lt;=30, "Watch", T15&lt;=90, "Substandard", T15&gt;90, "Non-Performing")</f>
        <v>Performing</v>
      </c>
      <c r="F15" t="s">
        <v>711</v>
      </c>
      <c r="I15" t="s">
        <v>712</v>
      </c>
      <c r="J15" s="20">
        <v>44620</v>
      </c>
      <c r="K15">
        <f t="shared" si="0"/>
        <v>11</v>
      </c>
      <c r="L15" s="22">
        <v>44980</v>
      </c>
      <c r="M15" s="28">
        <f t="shared" ca="1" si="1"/>
        <v>0</v>
      </c>
      <c r="N15">
        <v>12</v>
      </c>
      <c r="O15" s="26">
        <f t="shared" si="2"/>
        <v>44985</v>
      </c>
      <c r="P15">
        <v>2545000000</v>
      </c>
      <c r="Q15">
        <v>19</v>
      </c>
      <c r="R15">
        <v>2143000000</v>
      </c>
      <c r="S15" t="s">
        <v>720</v>
      </c>
      <c r="T15">
        <v>0</v>
      </c>
      <c r="U15">
        <v>0</v>
      </c>
      <c r="V15" t="s">
        <v>662</v>
      </c>
    </row>
    <row r="16" spans="1:23" x14ac:dyDescent="0.25">
      <c r="A16" t="s">
        <v>881</v>
      </c>
      <c r="B16" t="s">
        <v>203</v>
      </c>
      <c r="C16" t="s">
        <v>67</v>
      </c>
      <c r="D16" t="s">
        <v>658</v>
      </c>
      <c r="E16" t="str" cm="1">
        <f t="array" ref="E16">_xlfn.IFS(T16=0, "Performing", T16&lt;=30, "Watch", T16&lt;=90, "Substandard", T16&gt;90, "Non-Performing")</f>
        <v>Performing</v>
      </c>
      <c r="F16" t="s">
        <v>694</v>
      </c>
      <c r="I16" t="s">
        <v>712</v>
      </c>
      <c r="J16" s="20">
        <v>44732</v>
      </c>
      <c r="K16">
        <f t="shared" si="0"/>
        <v>59</v>
      </c>
      <c r="L16" s="22">
        <v>46532</v>
      </c>
      <c r="M16" s="28">
        <f t="shared" ca="1" si="1"/>
        <v>379</v>
      </c>
      <c r="N16">
        <v>60</v>
      </c>
      <c r="O16" s="26">
        <f t="shared" si="2"/>
        <v>46558</v>
      </c>
      <c r="P16">
        <v>3495000000</v>
      </c>
      <c r="Q16">
        <v>17.899999999999999</v>
      </c>
      <c r="R16">
        <v>2070000000</v>
      </c>
      <c r="S16" t="s">
        <v>667</v>
      </c>
      <c r="T16">
        <v>0</v>
      </c>
      <c r="U16">
        <v>0</v>
      </c>
      <c r="V16" t="s">
        <v>736</v>
      </c>
    </row>
    <row r="17" spans="1:22" x14ac:dyDescent="0.25">
      <c r="A17" t="s">
        <v>833</v>
      </c>
      <c r="B17" t="s">
        <v>466</v>
      </c>
      <c r="C17" t="s">
        <v>73</v>
      </c>
      <c r="D17" t="s">
        <v>678</v>
      </c>
      <c r="E17" t="str" cm="1">
        <f t="array" ref="E17">_xlfn.IFS(T17=0, "Performing", T17&lt;=30, "Watch", T17&lt;=90, "Substandard", T17&gt;90, "Non-Performing")</f>
        <v>Performing</v>
      </c>
      <c r="F17" t="s">
        <v>111</v>
      </c>
      <c r="I17" t="s">
        <v>666</v>
      </c>
      <c r="J17" s="20">
        <v>45384</v>
      </c>
      <c r="K17">
        <f t="shared" si="0"/>
        <v>15</v>
      </c>
      <c r="L17" s="22">
        <v>45866</v>
      </c>
      <c r="M17" s="28">
        <f t="shared" ca="1" si="1"/>
        <v>0</v>
      </c>
      <c r="N17">
        <v>18</v>
      </c>
      <c r="O17" s="26">
        <f t="shared" si="2"/>
        <v>45932</v>
      </c>
      <c r="P17">
        <v>2618000000</v>
      </c>
      <c r="Q17">
        <v>25.6</v>
      </c>
      <c r="R17">
        <v>1815000000</v>
      </c>
      <c r="S17" t="s">
        <v>720</v>
      </c>
      <c r="T17">
        <v>0</v>
      </c>
      <c r="U17">
        <v>0</v>
      </c>
      <c r="V17" t="s">
        <v>716</v>
      </c>
    </row>
    <row r="18" spans="1:22" x14ac:dyDescent="0.25">
      <c r="A18" t="s">
        <v>837</v>
      </c>
      <c r="B18" t="s">
        <v>591</v>
      </c>
      <c r="C18" t="s">
        <v>39</v>
      </c>
      <c r="D18" t="s">
        <v>701</v>
      </c>
      <c r="E18" t="str" cm="1">
        <f t="array" ref="E18">_xlfn.IFS(T18=0, "Performing", T18&lt;=30, "Watch", T18&lt;=90, "Substandard", T18&gt;90, "Non-Performing")</f>
        <v>Performing</v>
      </c>
      <c r="F18" t="s">
        <v>659</v>
      </c>
      <c r="I18" t="s">
        <v>691</v>
      </c>
      <c r="J18" s="20">
        <v>44459</v>
      </c>
      <c r="K18">
        <f t="shared" si="0"/>
        <v>47</v>
      </c>
      <c r="L18" s="22">
        <v>45899</v>
      </c>
      <c r="M18" s="28">
        <f t="shared" ca="1" si="1"/>
        <v>0</v>
      </c>
      <c r="N18">
        <v>48</v>
      </c>
      <c r="O18" s="26">
        <f t="shared" si="2"/>
        <v>45920</v>
      </c>
      <c r="P18">
        <v>1999000000</v>
      </c>
      <c r="Q18">
        <v>26.6</v>
      </c>
      <c r="R18">
        <v>1738000000</v>
      </c>
      <c r="S18" t="s">
        <v>667</v>
      </c>
      <c r="T18">
        <v>0</v>
      </c>
      <c r="U18">
        <v>0</v>
      </c>
      <c r="V18" t="s">
        <v>702</v>
      </c>
    </row>
    <row r="19" spans="1:22" x14ac:dyDescent="0.25">
      <c r="A19" t="s">
        <v>894</v>
      </c>
      <c r="B19" t="s">
        <v>366</v>
      </c>
      <c r="C19" t="s">
        <v>67</v>
      </c>
      <c r="D19" t="s">
        <v>670</v>
      </c>
      <c r="E19" t="str" cm="1">
        <f t="array" ref="E19">_xlfn.IFS(T19=0, "Performing", T19&lt;=30, "Watch", T19&lt;=90, "Substandard", T19&gt;90, "Non-Performing")</f>
        <v>Performing</v>
      </c>
      <c r="F19" t="s">
        <v>659</v>
      </c>
      <c r="I19" t="s">
        <v>727</v>
      </c>
      <c r="J19" s="20">
        <v>44693</v>
      </c>
      <c r="K19">
        <f t="shared" si="0"/>
        <v>18</v>
      </c>
      <c r="L19" s="22">
        <v>45260</v>
      </c>
      <c r="M19" s="28">
        <f t="shared" ca="1" si="1"/>
        <v>0</v>
      </c>
      <c r="N19">
        <v>12</v>
      </c>
      <c r="O19" s="26">
        <f t="shared" si="2"/>
        <v>45058</v>
      </c>
      <c r="P19">
        <v>2886000000</v>
      </c>
      <c r="Q19">
        <v>17.7</v>
      </c>
      <c r="R19">
        <v>1715000000</v>
      </c>
      <c r="S19" t="s">
        <v>667</v>
      </c>
      <c r="T19">
        <v>0</v>
      </c>
      <c r="U19">
        <v>0</v>
      </c>
      <c r="V19" t="s">
        <v>688</v>
      </c>
    </row>
    <row r="20" spans="1:22" x14ac:dyDescent="0.25">
      <c r="A20" t="s">
        <v>685</v>
      </c>
      <c r="B20" t="s">
        <v>623</v>
      </c>
      <c r="C20" t="s">
        <v>60</v>
      </c>
      <c r="D20" t="s">
        <v>686</v>
      </c>
      <c r="E20" t="str" cm="1">
        <f t="array" ref="E20">_xlfn.IFS(T20=0, "Performing", T20&lt;=30, "Watch", T20&lt;=90, "Substandard", T20&gt;90, "Non-Performing")</f>
        <v>Performing</v>
      </c>
      <c r="F20" t="s">
        <v>687</v>
      </c>
      <c r="I20" t="s">
        <v>671</v>
      </c>
      <c r="J20" s="20">
        <v>44407</v>
      </c>
      <c r="K20">
        <f t="shared" si="0"/>
        <v>11</v>
      </c>
      <c r="L20" s="22">
        <v>44767</v>
      </c>
      <c r="M20" s="28">
        <f t="shared" ca="1" si="1"/>
        <v>0</v>
      </c>
      <c r="N20">
        <v>12</v>
      </c>
      <c r="O20" s="26">
        <f t="shared" si="2"/>
        <v>44772</v>
      </c>
      <c r="P20">
        <v>1921000000</v>
      </c>
      <c r="Q20">
        <v>16.100000000000001</v>
      </c>
      <c r="R20">
        <v>1695000000</v>
      </c>
      <c r="S20" t="s">
        <v>667</v>
      </c>
      <c r="T20">
        <v>0</v>
      </c>
      <c r="U20">
        <v>0</v>
      </c>
      <c r="V20" t="s">
        <v>688</v>
      </c>
    </row>
    <row r="21" spans="1:22" x14ac:dyDescent="0.25">
      <c r="A21" t="s">
        <v>817</v>
      </c>
      <c r="B21" t="s">
        <v>462</v>
      </c>
      <c r="C21" t="s">
        <v>60</v>
      </c>
      <c r="E21" t="str" cm="1">
        <f t="array" ref="E21">_xlfn.IFS(T21=0, "Performing", T21&lt;=30, "Watch", T21&lt;=90, "Substandard", T21&gt;90, "Non-Performing")</f>
        <v>Watch</v>
      </c>
      <c r="F21" t="s">
        <v>709</v>
      </c>
      <c r="I21" t="s">
        <v>666</v>
      </c>
      <c r="J21" s="20">
        <v>44254</v>
      </c>
      <c r="K21">
        <f t="shared" si="0"/>
        <v>47</v>
      </c>
      <c r="L21" s="22">
        <v>45694</v>
      </c>
      <c r="M21" s="28">
        <f t="shared" ca="1" si="1"/>
        <v>0</v>
      </c>
      <c r="N21">
        <v>48</v>
      </c>
      <c r="O21" s="26">
        <f t="shared" si="2"/>
        <v>45715</v>
      </c>
      <c r="P21">
        <v>1664000000</v>
      </c>
      <c r="Q21" t="s">
        <v>818</v>
      </c>
      <c r="R21">
        <v>1664000000</v>
      </c>
      <c r="S21" t="s">
        <v>684</v>
      </c>
      <c r="T21">
        <v>1</v>
      </c>
      <c r="U21">
        <v>646</v>
      </c>
    </row>
    <row r="22" spans="1:22" x14ac:dyDescent="0.25">
      <c r="A22" s="29" t="s">
        <v>657</v>
      </c>
      <c r="B22" t="s">
        <v>136</v>
      </c>
      <c r="C22" t="s">
        <v>60</v>
      </c>
      <c r="D22" t="s">
        <v>658</v>
      </c>
      <c r="E22" t="str" cm="1">
        <f t="array" ref="E22">_xlfn.IFS(T22=0, "Performing", T22&lt;=30, "Watch", T22&lt;=90, "Substandard", T22&gt;90, "Non-Performing")</f>
        <v>Watch</v>
      </c>
      <c r="F22" t="s">
        <v>659</v>
      </c>
      <c r="I22" t="s">
        <v>660</v>
      </c>
      <c r="J22" s="20">
        <v>44921</v>
      </c>
      <c r="K22">
        <f t="shared" si="0"/>
        <v>59</v>
      </c>
      <c r="L22" s="22">
        <v>46721</v>
      </c>
      <c r="M22" s="28">
        <f t="shared" ca="1" si="1"/>
        <v>568</v>
      </c>
      <c r="N22">
        <v>60</v>
      </c>
      <c r="O22" s="26">
        <f t="shared" si="2"/>
        <v>46747</v>
      </c>
      <c r="P22">
        <v>3964000000</v>
      </c>
      <c r="Q22">
        <v>14.7</v>
      </c>
      <c r="R22">
        <v>1624000000</v>
      </c>
      <c r="S22" t="s">
        <v>661</v>
      </c>
      <c r="T22">
        <v>1</v>
      </c>
      <c r="U22">
        <v>451</v>
      </c>
      <c r="V22" t="s">
        <v>662</v>
      </c>
    </row>
    <row r="23" spans="1:22" x14ac:dyDescent="0.25">
      <c r="A23" t="s">
        <v>913</v>
      </c>
      <c r="B23" t="s">
        <v>470</v>
      </c>
      <c r="C23" t="s">
        <v>25</v>
      </c>
      <c r="D23" t="s">
        <v>658</v>
      </c>
      <c r="E23" t="str" cm="1">
        <f t="array" ref="E23">_xlfn.IFS(T23=0, "Performing", T23&lt;=30, "Watch", T23&lt;=90, "Substandard", T23&gt;90, "Non-Performing")</f>
        <v>Performing</v>
      </c>
      <c r="F23" t="s">
        <v>679</v>
      </c>
      <c r="I23" t="s">
        <v>745</v>
      </c>
      <c r="J23" s="20">
        <v>44821</v>
      </c>
      <c r="K23">
        <f t="shared" si="0"/>
        <v>35</v>
      </c>
      <c r="L23" s="22">
        <v>45901</v>
      </c>
      <c r="M23" s="28">
        <f t="shared" ca="1" si="1"/>
        <v>0</v>
      </c>
      <c r="N23">
        <v>36</v>
      </c>
      <c r="O23" s="26">
        <f t="shared" si="2"/>
        <v>45917</v>
      </c>
      <c r="P23">
        <v>4923000000</v>
      </c>
      <c r="Q23">
        <v>16.100000000000001</v>
      </c>
      <c r="R23">
        <v>1585000000</v>
      </c>
      <c r="S23" t="s">
        <v>692</v>
      </c>
      <c r="T23">
        <v>0</v>
      </c>
      <c r="U23">
        <v>40</v>
      </c>
      <c r="V23" t="s">
        <v>676</v>
      </c>
    </row>
    <row r="24" spans="1:22" x14ac:dyDescent="0.25">
      <c r="A24" t="s">
        <v>922</v>
      </c>
      <c r="B24" t="s">
        <v>248</v>
      </c>
      <c r="C24" t="s">
        <v>39</v>
      </c>
      <c r="D24" t="s">
        <v>686</v>
      </c>
      <c r="E24" t="str" cm="1">
        <f t="array" ref="E24">_xlfn.IFS(T24=0, "Performing", T24&lt;=30, "Watch", T24&lt;=90, "Substandard", T24&gt;90, "Non-Performing")</f>
        <v>Performing</v>
      </c>
      <c r="F24" t="s">
        <v>679</v>
      </c>
      <c r="I24" t="s">
        <v>695</v>
      </c>
      <c r="J24" s="20">
        <v>44449</v>
      </c>
      <c r="K24">
        <f t="shared" si="0"/>
        <v>9</v>
      </c>
      <c r="L24" s="22">
        <v>44746</v>
      </c>
      <c r="M24" s="28">
        <f t="shared" ca="1" si="1"/>
        <v>0</v>
      </c>
      <c r="N24">
        <v>6</v>
      </c>
      <c r="O24" s="26">
        <f t="shared" si="2"/>
        <v>44630</v>
      </c>
      <c r="P24">
        <v>4765000000</v>
      </c>
      <c r="Q24">
        <v>22.6</v>
      </c>
      <c r="R24">
        <v>1583000000</v>
      </c>
      <c r="S24" t="s">
        <v>667</v>
      </c>
      <c r="T24">
        <v>0</v>
      </c>
      <c r="U24">
        <v>0</v>
      </c>
      <c r="V24" t="s">
        <v>716</v>
      </c>
    </row>
    <row r="25" spans="1:22" x14ac:dyDescent="0.25">
      <c r="A25" t="s">
        <v>856</v>
      </c>
      <c r="B25" t="s">
        <v>239</v>
      </c>
      <c r="C25" t="s">
        <v>53</v>
      </c>
      <c r="D25" t="s">
        <v>658</v>
      </c>
      <c r="E25" t="str" cm="1">
        <f t="array" ref="E25">_xlfn.IFS(T25=0, "Performing", T25&lt;=30, "Watch", T25&lt;=90, "Substandard", T25&gt;90, "Non-Performing")</f>
        <v>Watch</v>
      </c>
      <c r="F25" t="s">
        <v>709</v>
      </c>
      <c r="I25" t="s">
        <v>695</v>
      </c>
      <c r="J25" s="20">
        <v>44468</v>
      </c>
      <c r="K25">
        <f t="shared" si="0"/>
        <v>46</v>
      </c>
      <c r="L25" s="22">
        <v>45878</v>
      </c>
      <c r="M25" s="28">
        <f t="shared" ca="1" si="1"/>
        <v>0</v>
      </c>
      <c r="N25">
        <v>48</v>
      </c>
      <c r="O25" s="26">
        <f t="shared" si="2"/>
        <v>45929</v>
      </c>
      <c r="P25">
        <v>4627000000</v>
      </c>
      <c r="Q25">
        <v>23.7</v>
      </c>
      <c r="R25">
        <v>1438000000</v>
      </c>
      <c r="S25" t="s">
        <v>661</v>
      </c>
      <c r="T25">
        <v>1</v>
      </c>
      <c r="U25">
        <v>451</v>
      </c>
      <c r="V25" t="s">
        <v>714</v>
      </c>
    </row>
    <row r="26" spans="1:22" x14ac:dyDescent="0.25">
      <c r="A26" t="s">
        <v>782</v>
      </c>
      <c r="B26" t="s">
        <v>262</v>
      </c>
      <c r="C26" t="s">
        <v>39</v>
      </c>
      <c r="D26" t="s">
        <v>707</v>
      </c>
      <c r="E26" t="str" cm="1">
        <f t="array" ref="E26">_xlfn.IFS(T26=0, "Performing", T26&lt;=30, "Watch", T26&lt;=90, "Substandard", T26&gt;90, "Non-Performing")</f>
        <v>Performing</v>
      </c>
      <c r="F26" t="s">
        <v>687</v>
      </c>
      <c r="I26" t="s">
        <v>698</v>
      </c>
      <c r="J26" s="20">
        <v>45343</v>
      </c>
      <c r="K26">
        <f t="shared" si="0"/>
        <v>31</v>
      </c>
      <c r="L26" s="22">
        <v>46297</v>
      </c>
      <c r="M26" s="28">
        <f t="shared" ca="1" si="1"/>
        <v>144</v>
      </c>
      <c r="N26">
        <v>24</v>
      </c>
      <c r="O26" s="26">
        <f t="shared" si="2"/>
        <v>46074</v>
      </c>
      <c r="P26">
        <v>3818000000</v>
      </c>
      <c r="Q26" t="s">
        <v>763</v>
      </c>
      <c r="R26">
        <v>1368000000</v>
      </c>
      <c r="S26" t="s">
        <v>667</v>
      </c>
      <c r="T26">
        <v>0</v>
      </c>
      <c r="U26">
        <v>0</v>
      </c>
      <c r="V26" t="s">
        <v>716</v>
      </c>
    </row>
    <row r="27" spans="1:22" x14ac:dyDescent="0.25">
      <c r="A27" t="s">
        <v>810</v>
      </c>
      <c r="B27" t="s">
        <v>124</v>
      </c>
      <c r="C27" t="s">
        <v>46</v>
      </c>
      <c r="D27" t="s">
        <v>707</v>
      </c>
      <c r="E27" t="str" cm="1">
        <f t="array" ref="E27">_xlfn.IFS(T27=0, "Performing", T27&lt;=30, "Watch", T27&lt;=90, "Substandard", T27&gt;90, "Non-Performing")</f>
        <v>Watch</v>
      </c>
      <c r="F27" t="s">
        <v>679</v>
      </c>
      <c r="I27" t="s">
        <v>683</v>
      </c>
      <c r="J27" s="20">
        <v>44959</v>
      </c>
      <c r="K27">
        <f t="shared" si="0"/>
        <v>23</v>
      </c>
      <c r="L27" s="22">
        <v>45679</v>
      </c>
      <c r="M27" s="28">
        <f t="shared" ca="1" si="1"/>
        <v>0</v>
      </c>
      <c r="N27">
        <v>24</v>
      </c>
      <c r="O27" s="26">
        <f t="shared" si="2"/>
        <v>45690</v>
      </c>
      <c r="P27">
        <v>1282000000</v>
      </c>
      <c r="Q27">
        <v>15.9</v>
      </c>
      <c r="R27">
        <v>1282000000</v>
      </c>
      <c r="S27" t="s">
        <v>684</v>
      </c>
      <c r="T27">
        <v>1</v>
      </c>
      <c r="U27">
        <v>167</v>
      </c>
      <c r="V27" t="s">
        <v>676</v>
      </c>
    </row>
    <row r="28" spans="1:22" x14ac:dyDescent="0.25">
      <c r="A28" t="s">
        <v>778</v>
      </c>
      <c r="B28" t="s">
        <v>148</v>
      </c>
      <c r="C28" t="s">
        <v>73</v>
      </c>
      <c r="D28" t="s">
        <v>682</v>
      </c>
      <c r="E28" t="str" cm="1">
        <f t="array" ref="E28">_xlfn.IFS(T28=0, "Performing", T28&lt;=30, "Watch", T28&lt;=90, "Substandard", T28&gt;90, "Non-Performing")</f>
        <v>Watch</v>
      </c>
      <c r="F28" t="s">
        <v>111</v>
      </c>
      <c r="I28" t="s">
        <v>666</v>
      </c>
      <c r="J28" s="20">
        <v>44930</v>
      </c>
      <c r="K28">
        <f t="shared" si="0"/>
        <v>38</v>
      </c>
      <c r="L28" s="22">
        <v>46097</v>
      </c>
      <c r="M28" s="28">
        <f t="shared" ca="1" si="1"/>
        <v>0</v>
      </c>
      <c r="N28">
        <v>36</v>
      </c>
      <c r="O28" s="26">
        <f t="shared" si="2"/>
        <v>46026</v>
      </c>
      <c r="P28">
        <v>3926000000</v>
      </c>
      <c r="Q28" t="s">
        <v>779</v>
      </c>
      <c r="R28">
        <v>1251000000</v>
      </c>
      <c r="S28" t="s">
        <v>661</v>
      </c>
      <c r="T28">
        <v>1</v>
      </c>
      <c r="U28">
        <v>640</v>
      </c>
      <c r="V28" t="s">
        <v>662</v>
      </c>
    </row>
    <row r="29" spans="1:22" x14ac:dyDescent="0.25">
      <c r="A29" t="s">
        <v>864</v>
      </c>
      <c r="B29" t="s">
        <v>142</v>
      </c>
      <c r="C29" t="s">
        <v>46</v>
      </c>
      <c r="D29" t="s">
        <v>658</v>
      </c>
      <c r="E29" t="str" cm="1">
        <f t="array" ref="E29">_xlfn.IFS(T29=0, "Performing", T29&lt;=30, "Watch", T29&lt;=90, "Substandard", T29&gt;90, "Non-Performing")</f>
        <v>Performing</v>
      </c>
      <c r="F29" t="s">
        <v>711</v>
      </c>
      <c r="I29" t="s">
        <v>695</v>
      </c>
      <c r="J29" s="20">
        <v>45065</v>
      </c>
      <c r="K29">
        <f t="shared" si="0"/>
        <v>59</v>
      </c>
      <c r="L29" s="22">
        <v>46865</v>
      </c>
      <c r="M29" s="28">
        <f t="shared" ca="1" si="1"/>
        <v>712</v>
      </c>
      <c r="N29">
        <v>60</v>
      </c>
      <c r="O29" s="26">
        <f t="shared" si="2"/>
        <v>46892</v>
      </c>
      <c r="P29">
        <v>4905000000</v>
      </c>
      <c r="Q29" t="s">
        <v>865</v>
      </c>
      <c r="R29">
        <v>1238000000</v>
      </c>
      <c r="S29" t="s">
        <v>667</v>
      </c>
      <c r="T29">
        <v>0</v>
      </c>
      <c r="U29">
        <v>0</v>
      </c>
      <c r="V29" t="s">
        <v>662</v>
      </c>
    </row>
    <row r="30" spans="1:22" x14ac:dyDescent="0.25">
      <c r="A30" t="s">
        <v>903</v>
      </c>
      <c r="B30" t="s">
        <v>466</v>
      </c>
      <c r="C30" t="s">
        <v>39</v>
      </c>
      <c r="D30" t="s">
        <v>686</v>
      </c>
      <c r="E30" t="str" cm="1">
        <f t="array" ref="E30">_xlfn.IFS(T30=0, "Performing", T30&lt;=30, "Watch", T30&lt;=90, "Substandard", T30&gt;90, "Non-Performing")</f>
        <v>Watch</v>
      </c>
      <c r="F30" t="s">
        <v>659</v>
      </c>
      <c r="I30" t="s">
        <v>671</v>
      </c>
      <c r="J30" s="20">
        <v>44519</v>
      </c>
      <c r="K30">
        <f t="shared" si="0"/>
        <v>23</v>
      </c>
      <c r="L30" s="22">
        <v>45239</v>
      </c>
      <c r="M30" s="28">
        <f t="shared" ca="1" si="1"/>
        <v>0</v>
      </c>
      <c r="N30">
        <v>24</v>
      </c>
      <c r="O30" s="26">
        <f t="shared" si="2"/>
        <v>45249</v>
      </c>
      <c r="P30">
        <v>3272000000</v>
      </c>
      <c r="Q30">
        <v>14.8</v>
      </c>
      <c r="R30">
        <v>1210000000</v>
      </c>
      <c r="S30" t="s">
        <v>661</v>
      </c>
      <c r="T30">
        <v>1</v>
      </c>
      <c r="U30">
        <v>640</v>
      </c>
      <c r="V30" t="s">
        <v>662</v>
      </c>
    </row>
    <row r="31" spans="1:22" x14ac:dyDescent="0.25">
      <c r="A31" t="s">
        <v>907</v>
      </c>
      <c r="B31" t="s">
        <v>478</v>
      </c>
      <c r="C31" t="s">
        <v>53</v>
      </c>
      <c r="D31" t="s">
        <v>752</v>
      </c>
      <c r="E31" t="str" cm="1">
        <f t="array" ref="E31">_xlfn.IFS(T31=0, "Performing", T31&lt;=30, "Watch", T31&lt;=90, "Substandard", T31&gt;90, "Non-Performing")</f>
        <v>Performing</v>
      </c>
      <c r="F31" t="s">
        <v>709</v>
      </c>
      <c r="I31" t="s">
        <v>671</v>
      </c>
      <c r="J31" s="20">
        <v>45437</v>
      </c>
      <c r="K31">
        <f t="shared" si="0"/>
        <v>46</v>
      </c>
      <c r="L31" s="22">
        <v>46848</v>
      </c>
      <c r="M31" s="28">
        <f t="shared" ca="1" si="1"/>
        <v>695</v>
      </c>
      <c r="N31">
        <v>48</v>
      </c>
      <c r="O31" s="26">
        <f t="shared" si="2"/>
        <v>46898</v>
      </c>
      <c r="P31">
        <v>2209000000</v>
      </c>
      <c r="Q31">
        <v>20.9</v>
      </c>
      <c r="R31">
        <v>1168000000</v>
      </c>
      <c r="S31" t="s">
        <v>720</v>
      </c>
      <c r="T31">
        <v>0</v>
      </c>
      <c r="U31">
        <v>0</v>
      </c>
      <c r="V31" t="s">
        <v>676</v>
      </c>
    </row>
    <row r="32" spans="1:22" x14ac:dyDescent="0.25">
      <c r="A32" t="s">
        <v>741</v>
      </c>
      <c r="B32" t="s">
        <v>239</v>
      </c>
      <c r="C32" t="s">
        <v>67</v>
      </c>
      <c r="D32" t="s">
        <v>707</v>
      </c>
      <c r="E32" t="str" cm="1">
        <f t="array" ref="E32">_xlfn.IFS(T32=0, "Performing", T32&lt;=30, "Watch", T32&lt;=90, "Substandard", T32&gt;90, "Non-Performing")</f>
        <v>Performing</v>
      </c>
      <c r="F32" t="s">
        <v>694</v>
      </c>
      <c r="I32" t="s">
        <v>691</v>
      </c>
      <c r="J32" s="20">
        <v>44413</v>
      </c>
      <c r="K32">
        <f t="shared" si="0"/>
        <v>44</v>
      </c>
      <c r="L32" s="22">
        <v>45764</v>
      </c>
      <c r="M32" s="28">
        <f t="shared" ca="1" si="1"/>
        <v>0</v>
      </c>
      <c r="N32">
        <v>48</v>
      </c>
      <c r="O32" s="26">
        <f t="shared" si="2"/>
        <v>45874</v>
      </c>
      <c r="P32">
        <v>2198000000</v>
      </c>
      <c r="Q32">
        <v>18.600000000000001</v>
      </c>
      <c r="R32">
        <v>1142000000</v>
      </c>
      <c r="S32" t="s">
        <v>667</v>
      </c>
      <c r="T32">
        <v>0</v>
      </c>
      <c r="U32">
        <v>0</v>
      </c>
      <c r="V32" t="s">
        <v>716</v>
      </c>
    </row>
    <row r="33" spans="1:22" x14ac:dyDescent="0.25">
      <c r="A33" t="s">
        <v>774</v>
      </c>
      <c r="B33" t="s">
        <v>376</v>
      </c>
      <c r="C33" t="s">
        <v>73</v>
      </c>
      <c r="D33" t="s">
        <v>707</v>
      </c>
      <c r="E33" t="str" cm="1">
        <f t="array" ref="E33">_xlfn.IFS(T33=0, "Performing", T33&lt;=30, "Watch", T33&lt;=90, "Substandard", T33&gt;90, "Non-Performing")</f>
        <v>Performing</v>
      </c>
      <c r="F33" t="s">
        <v>665</v>
      </c>
      <c r="I33" t="s">
        <v>680</v>
      </c>
      <c r="J33" s="20">
        <v>45032</v>
      </c>
      <c r="K33">
        <f t="shared" si="0"/>
        <v>5</v>
      </c>
      <c r="L33" s="22">
        <v>45212</v>
      </c>
      <c r="M33" s="28">
        <f t="shared" ca="1" si="1"/>
        <v>0</v>
      </c>
      <c r="N33">
        <v>6</v>
      </c>
      <c r="O33" s="26">
        <f t="shared" si="2"/>
        <v>45215</v>
      </c>
      <c r="P33">
        <v>3399000000</v>
      </c>
      <c r="Q33">
        <v>15.3</v>
      </c>
      <c r="R33">
        <v>829000000</v>
      </c>
      <c r="S33" t="s">
        <v>692</v>
      </c>
      <c r="T33">
        <v>0</v>
      </c>
      <c r="U33">
        <v>86</v>
      </c>
      <c r="V33" t="s">
        <v>716</v>
      </c>
    </row>
    <row r="34" spans="1:22" x14ac:dyDescent="0.25">
      <c r="A34" t="s">
        <v>765</v>
      </c>
      <c r="B34" t="s">
        <v>340</v>
      </c>
      <c r="C34" t="s">
        <v>60</v>
      </c>
      <c r="D34" t="s">
        <v>664</v>
      </c>
      <c r="E34" t="str" cm="1">
        <f t="array" ref="E34">_xlfn.IFS(T34=0, "Performing", T34&lt;=30, "Watch", T34&lt;=90, "Substandard", T34&gt;90, "Non-Performing")</f>
        <v>Performing</v>
      </c>
      <c r="F34" t="s">
        <v>718</v>
      </c>
      <c r="I34" t="s">
        <v>666</v>
      </c>
      <c r="J34" s="20">
        <v>44650</v>
      </c>
      <c r="K34">
        <f t="shared" ref="K34:K65" si="3">IF(J34 &gt; L34, 0, DATEDIF(J34, L34, "m"))</f>
        <v>53</v>
      </c>
      <c r="L34" s="22">
        <v>46268</v>
      </c>
      <c r="M34" s="28">
        <f t="shared" ref="M34:M65" ca="1" si="4">MAX(0, L34 - TODAY())</f>
        <v>115</v>
      </c>
      <c r="N34">
        <v>48</v>
      </c>
      <c r="O34" s="26">
        <f t="shared" ref="O34:O65" si="5">EDATE(J34, N34)</f>
        <v>46111</v>
      </c>
      <c r="P34">
        <v>2636000000</v>
      </c>
      <c r="Q34">
        <v>27.1</v>
      </c>
      <c r="R34">
        <v>796000000</v>
      </c>
      <c r="S34" t="s">
        <v>692</v>
      </c>
      <c r="T34">
        <v>0</v>
      </c>
      <c r="U34">
        <v>49</v>
      </c>
      <c r="V34" t="s">
        <v>668</v>
      </c>
    </row>
    <row r="35" spans="1:22" x14ac:dyDescent="0.25">
      <c r="A35" t="s">
        <v>812</v>
      </c>
      <c r="B35" t="s">
        <v>575</v>
      </c>
      <c r="C35" t="s">
        <v>53</v>
      </c>
      <c r="E35" t="str" cm="1">
        <f t="array" ref="E35">_xlfn.IFS(T35=0, "Performing", T35&lt;=30, "Watch", T35&lt;=90, "Substandard", T35&gt;90, "Non-Performing")</f>
        <v>Watch</v>
      </c>
      <c r="F35" t="s">
        <v>694</v>
      </c>
      <c r="I35" t="s">
        <v>745</v>
      </c>
      <c r="J35" s="20">
        <v>44637</v>
      </c>
      <c r="K35">
        <f t="shared" si="3"/>
        <v>59</v>
      </c>
      <c r="L35" s="22">
        <v>46437</v>
      </c>
      <c r="M35" s="28">
        <f t="shared" ca="1" si="4"/>
        <v>284</v>
      </c>
      <c r="N35">
        <v>60</v>
      </c>
      <c r="O35" s="26">
        <f t="shared" si="5"/>
        <v>46463</v>
      </c>
      <c r="P35">
        <v>1247000000</v>
      </c>
      <c r="Q35">
        <v>17.5</v>
      </c>
      <c r="R35">
        <v>740000000</v>
      </c>
      <c r="S35" t="s">
        <v>661</v>
      </c>
      <c r="T35">
        <v>1</v>
      </c>
      <c r="U35">
        <v>141</v>
      </c>
      <c r="V35" t="s">
        <v>699</v>
      </c>
    </row>
    <row r="36" spans="1:22" x14ac:dyDescent="0.25">
      <c r="A36" t="s">
        <v>799</v>
      </c>
      <c r="B36" t="s">
        <v>154</v>
      </c>
      <c r="C36" t="s">
        <v>39</v>
      </c>
      <c r="D36" t="s">
        <v>701</v>
      </c>
      <c r="E36" t="str" cm="1">
        <f t="array" ref="E36">_xlfn.IFS(T36=0, "Performing", T36&lt;=30, "Watch", T36&lt;=90, "Substandard", T36&gt;90, "Non-Performing")</f>
        <v>Performing</v>
      </c>
      <c r="F36" t="s">
        <v>659</v>
      </c>
      <c r="I36" t="s">
        <v>712</v>
      </c>
      <c r="J36" s="20">
        <v>44506</v>
      </c>
      <c r="K36">
        <f t="shared" si="3"/>
        <v>30</v>
      </c>
      <c r="L36" s="22">
        <v>45438</v>
      </c>
      <c r="M36" s="28">
        <f t="shared" ca="1" si="4"/>
        <v>0</v>
      </c>
      <c r="N36">
        <v>36</v>
      </c>
      <c r="O36" s="26">
        <f t="shared" si="5"/>
        <v>45602</v>
      </c>
      <c r="P36">
        <v>1772000000</v>
      </c>
      <c r="Q36">
        <v>18.600000000000001</v>
      </c>
      <c r="R36">
        <v>672000000</v>
      </c>
      <c r="S36" t="s">
        <v>692</v>
      </c>
      <c r="T36">
        <v>0</v>
      </c>
      <c r="U36">
        <v>84</v>
      </c>
      <c r="V36" t="s">
        <v>662</v>
      </c>
    </row>
    <row r="37" spans="1:22" x14ac:dyDescent="0.25">
      <c r="A37" t="s">
        <v>770</v>
      </c>
      <c r="B37" t="s">
        <v>494</v>
      </c>
      <c r="C37" t="s">
        <v>25</v>
      </c>
      <c r="D37" t="s">
        <v>670</v>
      </c>
      <c r="E37" t="str" cm="1">
        <f t="array" ref="E37">_xlfn.IFS(T37=0, "Performing", T37&lt;=30, "Watch", T37&lt;=90, "Substandard", T37&gt;90, "Non-Performing")</f>
        <v>Watch</v>
      </c>
      <c r="F37" t="s">
        <v>679</v>
      </c>
      <c r="I37" t="s">
        <v>660</v>
      </c>
      <c r="J37" s="20">
        <v>45262</v>
      </c>
      <c r="K37">
        <f t="shared" si="3"/>
        <v>25</v>
      </c>
      <c r="L37" s="22">
        <v>46049</v>
      </c>
      <c r="M37" s="28">
        <f t="shared" ca="1" si="4"/>
        <v>0</v>
      </c>
      <c r="N37">
        <v>36</v>
      </c>
      <c r="O37" s="26">
        <f t="shared" si="5"/>
        <v>46358</v>
      </c>
      <c r="P37">
        <v>577000000</v>
      </c>
      <c r="Q37">
        <v>16.399999999999999</v>
      </c>
      <c r="R37">
        <v>577000000</v>
      </c>
      <c r="S37" t="s">
        <v>684</v>
      </c>
      <c r="T37">
        <v>1</v>
      </c>
      <c r="U37">
        <v>535</v>
      </c>
      <c r="V37" t="s">
        <v>702</v>
      </c>
    </row>
    <row r="38" spans="1:22" x14ac:dyDescent="0.25">
      <c r="A38" t="s">
        <v>898</v>
      </c>
      <c r="B38" t="s">
        <v>547</v>
      </c>
      <c r="C38" t="s">
        <v>73</v>
      </c>
      <c r="D38" t="s">
        <v>701</v>
      </c>
      <c r="E38" t="str" cm="1">
        <f t="array" ref="E38">_xlfn.IFS(T38=0, "Performing", T38&lt;=30, "Watch", T38&lt;=90, "Substandard", T38&gt;90, "Non-Performing")</f>
        <v>Watch</v>
      </c>
      <c r="F38" t="s">
        <v>718</v>
      </c>
      <c r="I38" t="s">
        <v>660</v>
      </c>
      <c r="J38" s="20">
        <v>44796</v>
      </c>
      <c r="K38">
        <f t="shared" si="3"/>
        <v>34</v>
      </c>
      <c r="L38" s="22">
        <v>45846</v>
      </c>
      <c r="M38" s="28">
        <f t="shared" ca="1" si="4"/>
        <v>0</v>
      </c>
      <c r="N38">
        <v>36</v>
      </c>
      <c r="O38" s="26">
        <f t="shared" si="5"/>
        <v>45892</v>
      </c>
      <c r="P38">
        <v>559000000</v>
      </c>
      <c r="Q38">
        <v>19.2</v>
      </c>
      <c r="R38">
        <v>559000000</v>
      </c>
      <c r="S38" t="s">
        <v>684</v>
      </c>
      <c r="T38">
        <v>1</v>
      </c>
      <c r="U38">
        <v>665</v>
      </c>
      <c r="V38" t="s">
        <v>716</v>
      </c>
    </row>
    <row r="39" spans="1:22" x14ac:dyDescent="0.25">
      <c r="A39" t="s">
        <v>777</v>
      </c>
      <c r="B39" t="s">
        <v>283</v>
      </c>
      <c r="C39" t="s">
        <v>67</v>
      </c>
      <c r="D39" t="s">
        <v>686</v>
      </c>
      <c r="E39" t="str" cm="1">
        <f t="array" ref="E39">_xlfn.IFS(T39=0, "Performing", T39&lt;=30, "Watch", T39&lt;=90, "Substandard", T39&gt;90, "Non-Performing")</f>
        <v>Performing</v>
      </c>
      <c r="F39" t="s">
        <v>659</v>
      </c>
      <c r="I39" t="s">
        <v>666</v>
      </c>
      <c r="J39" s="20">
        <v>44606</v>
      </c>
      <c r="K39">
        <f t="shared" si="3"/>
        <v>35</v>
      </c>
      <c r="L39" s="22">
        <v>45686</v>
      </c>
      <c r="M39" s="28">
        <f t="shared" ca="1" si="4"/>
        <v>0</v>
      </c>
      <c r="N39">
        <v>36</v>
      </c>
      <c r="O39" s="26">
        <f t="shared" si="5"/>
        <v>45702</v>
      </c>
      <c r="P39">
        <v>720000000</v>
      </c>
      <c r="Q39">
        <v>20.5</v>
      </c>
      <c r="R39">
        <v>548000000</v>
      </c>
      <c r="S39" t="s">
        <v>667</v>
      </c>
      <c r="T39">
        <v>0</v>
      </c>
      <c r="U39">
        <v>0</v>
      </c>
      <c r="V39" t="s">
        <v>699</v>
      </c>
    </row>
    <row r="40" spans="1:22" x14ac:dyDescent="0.25">
      <c r="A40" t="s">
        <v>933</v>
      </c>
      <c r="B40" t="s">
        <v>130</v>
      </c>
      <c r="C40" t="s">
        <v>39</v>
      </c>
      <c r="D40" t="s">
        <v>678</v>
      </c>
      <c r="E40" t="str" cm="1">
        <f t="array" ref="E40">_xlfn.IFS(T40=0, "Performing", T40&lt;=30, "Watch", T40&lt;=90, "Substandard", T40&gt;90, "Non-Performing")</f>
        <v>Performing</v>
      </c>
      <c r="F40" t="s">
        <v>718</v>
      </c>
      <c r="I40" t="s">
        <v>695</v>
      </c>
      <c r="J40" s="20">
        <v>44911</v>
      </c>
      <c r="K40">
        <f t="shared" si="3"/>
        <v>5</v>
      </c>
      <c r="L40" s="22">
        <v>45091</v>
      </c>
      <c r="M40" s="28">
        <f t="shared" ca="1" si="4"/>
        <v>0</v>
      </c>
      <c r="N40">
        <v>6</v>
      </c>
      <c r="O40" s="26">
        <f t="shared" si="5"/>
        <v>45093</v>
      </c>
      <c r="P40">
        <v>765000000</v>
      </c>
      <c r="Q40">
        <v>22.1</v>
      </c>
      <c r="R40">
        <v>521000000</v>
      </c>
      <c r="S40" t="s">
        <v>692</v>
      </c>
      <c r="T40">
        <v>0</v>
      </c>
      <c r="U40">
        <v>89</v>
      </c>
      <c r="V40" t="s">
        <v>662</v>
      </c>
    </row>
    <row r="41" spans="1:22" x14ac:dyDescent="0.25">
      <c r="A41" t="s">
        <v>753</v>
      </c>
      <c r="B41" t="s">
        <v>440</v>
      </c>
      <c r="C41" t="s">
        <v>73</v>
      </c>
      <c r="D41" t="s">
        <v>707</v>
      </c>
      <c r="E41" t="str" cm="1">
        <f t="array" ref="E41">_xlfn.IFS(T41=0, "Performing", T41&lt;=30, "Watch", T41&lt;=90, "Substandard", T41&gt;90, "Non-Performing")</f>
        <v>Performing</v>
      </c>
      <c r="F41" t="s">
        <v>711</v>
      </c>
      <c r="I41" t="s">
        <v>671</v>
      </c>
      <c r="J41" s="20">
        <v>45417</v>
      </c>
      <c r="K41">
        <f t="shared" si="3"/>
        <v>63</v>
      </c>
      <c r="L41" s="22">
        <v>47365</v>
      </c>
      <c r="M41" s="28">
        <f t="shared" ca="1" si="4"/>
        <v>1212</v>
      </c>
      <c r="N41">
        <v>60</v>
      </c>
      <c r="O41" s="26">
        <f t="shared" si="5"/>
        <v>47243</v>
      </c>
      <c r="P41">
        <v>4159000000</v>
      </c>
      <c r="Q41">
        <v>23.9</v>
      </c>
      <c r="R41">
        <v>518000000</v>
      </c>
      <c r="S41" t="s">
        <v>720</v>
      </c>
      <c r="T41">
        <v>0</v>
      </c>
      <c r="U41">
        <v>0</v>
      </c>
      <c r="V41" t="s">
        <v>662</v>
      </c>
    </row>
    <row r="42" spans="1:22" x14ac:dyDescent="0.25">
      <c r="A42" t="s">
        <v>873</v>
      </c>
      <c r="B42" t="s">
        <v>332</v>
      </c>
      <c r="C42" t="s">
        <v>25</v>
      </c>
      <c r="D42" t="s">
        <v>673</v>
      </c>
      <c r="E42" t="str" cm="1">
        <f t="array" ref="E42">_xlfn.IFS(T42=0, "Performing", T42&lt;=30, "Watch", T42&lt;=90, "Substandard", T42&gt;90, "Non-Performing")</f>
        <v>Watch</v>
      </c>
      <c r="F42" t="s">
        <v>111</v>
      </c>
      <c r="I42" t="s">
        <v>671</v>
      </c>
      <c r="J42" s="20">
        <v>44444</v>
      </c>
      <c r="K42">
        <f t="shared" si="3"/>
        <v>13</v>
      </c>
      <c r="L42" s="22">
        <v>44865</v>
      </c>
      <c r="M42" s="28">
        <f t="shared" ca="1" si="4"/>
        <v>0</v>
      </c>
      <c r="N42">
        <v>18</v>
      </c>
      <c r="O42" s="26">
        <f t="shared" si="5"/>
        <v>44990</v>
      </c>
      <c r="P42">
        <v>850000000</v>
      </c>
      <c r="Q42">
        <v>16.899999999999999</v>
      </c>
      <c r="R42">
        <v>511000000</v>
      </c>
      <c r="S42" t="s">
        <v>661</v>
      </c>
      <c r="T42">
        <v>1</v>
      </c>
      <c r="U42">
        <v>556</v>
      </c>
      <c r="V42" t="s">
        <v>676</v>
      </c>
    </row>
    <row r="43" spans="1:22" x14ac:dyDescent="0.25">
      <c r="A43" t="s">
        <v>663</v>
      </c>
      <c r="B43" t="s">
        <v>283</v>
      </c>
      <c r="C43" t="s">
        <v>46</v>
      </c>
      <c r="D43" t="s">
        <v>664</v>
      </c>
      <c r="E43" t="str" cm="1">
        <f t="array" ref="E43">_xlfn.IFS(T43=0, "Performing", T43&lt;=30, "Watch", T43&lt;=90, "Substandard", T43&gt;90, "Non-Performing")</f>
        <v>Performing</v>
      </c>
      <c r="F43" t="s">
        <v>665</v>
      </c>
      <c r="I43" t="s">
        <v>666</v>
      </c>
      <c r="J43" s="20">
        <v>45571</v>
      </c>
      <c r="K43">
        <f t="shared" si="3"/>
        <v>43</v>
      </c>
      <c r="L43" s="22">
        <v>46893</v>
      </c>
      <c r="M43" s="28">
        <f t="shared" ca="1" si="4"/>
        <v>740</v>
      </c>
      <c r="N43">
        <v>48</v>
      </c>
      <c r="O43" s="26">
        <f t="shared" si="5"/>
        <v>47032</v>
      </c>
      <c r="P43">
        <v>715000000</v>
      </c>
      <c r="Q43">
        <v>27</v>
      </c>
      <c r="R43">
        <v>507000000</v>
      </c>
      <c r="S43" t="s">
        <v>667</v>
      </c>
      <c r="T43">
        <v>0</v>
      </c>
      <c r="U43">
        <v>0</v>
      </c>
      <c r="V43" t="s">
        <v>668</v>
      </c>
    </row>
    <row r="44" spans="1:22" x14ac:dyDescent="0.25">
      <c r="A44" t="s">
        <v>793</v>
      </c>
      <c r="B44" t="s">
        <v>619</v>
      </c>
      <c r="C44" t="s">
        <v>25</v>
      </c>
      <c r="D44" t="s">
        <v>752</v>
      </c>
      <c r="E44" t="str" cm="1">
        <f t="array" ref="E44">_xlfn.IFS(T44=0, "Performing", T44&lt;=30, "Watch", T44&lt;=90, "Substandard", T44&gt;90, "Non-Performing")</f>
        <v>Watch</v>
      </c>
      <c r="F44" t="s">
        <v>659</v>
      </c>
      <c r="I44" t="s">
        <v>695</v>
      </c>
      <c r="J44" s="20">
        <v>45138</v>
      </c>
      <c r="K44">
        <f t="shared" si="3"/>
        <v>5</v>
      </c>
      <c r="L44" s="22">
        <v>45318</v>
      </c>
      <c r="M44" s="28">
        <f t="shared" ca="1" si="4"/>
        <v>0</v>
      </c>
      <c r="N44">
        <v>6</v>
      </c>
      <c r="O44" s="26">
        <f t="shared" si="5"/>
        <v>45322</v>
      </c>
      <c r="P44">
        <v>489000000</v>
      </c>
      <c r="Q44">
        <v>20.399999999999999</v>
      </c>
      <c r="R44">
        <v>489000000</v>
      </c>
      <c r="S44" t="s">
        <v>684</v>
      </c>
      <c r="T44">
        <v>1</v>
      </c>
      <c r="U44">
        <v>298</v>
      </c>
      <c r="V44" t="s">
        <v>668</v>
      </c>
    </row>
    <row r="45" spans="1:22" x14ac:dyDescent="0.25">
      <c r="A45" t="s">
        <v>910</v>
      </c>
      <c r="B45" t="s">
        <v>376</v>
      </c>
      <c r="C45" t="s">
        <v>60</v>
      </c>
      <c r="D45" t="s">
        <v>682</v>
      </c>
      <c r="E45" t="str" cm="1">
        <f t="array" ref="E45">_xlfn.IFS(T45=0, "Performing", T45&lt;=30, "Watch", T45&lt;=90, "Substandard", T45&gt;90, "Non-Performing")</f>
        <v>Watch</v>
      </c>
      <c r="F45" t="s">
        <v>711</v>
      </c>
      <c r="I45" t="s">
        <v>666</v>
      </c>
      <c r="J45" s="20">
        <v>45314</v>
      </c>
      <c r="K45">
        <f t="shared" si="3"/>
        <v>11</v>
      </c>
      <c r="L45" s="22">
        <v>45674</v>
      </c>
      <c r="M45" s="28">
        <f t="shared" ca="1" si="4"/>
        <v>0</v>
      </c>
      <c r="N45">
        <v>12</v>
      </c>
      <c r="O45" s="26">
        <f t="shared" si="5"/>
        <v>45680</v>
      </c>
      <c r="P45">
        <v>442000000</v>
      </c>
      <c r="Q45">
        <v>27.5</v>
      </c>
      <c r="R45">
        <v>442000000</v>
      </c>
      <c r="S45" t="s">
        <v>684</v>
      </c>
      <c r="T45">
        <v>1</v>
      </c>
      <c r="U45">
        <v>497</v>
      </c>
      <c r="V45" t="s">
        <v>676</v>
      </c>
    </row>
    <row r="46" spans="1:22" x14ac:dyDescent="0.25">
      <c r="A46" t="s">
        <v>813</v>
      </c>
      <c r="B46" t="s">
        <v>567</v>
      </c>
      <c r="C46" t="s">
        <v>39</v>
      </c>
      <c r="D46" t="s">
        <v>670</v>
      </c>
      <c r="E46" t="str" cm="1">
        <f t="array" ref="E46">_xlfn.IFS(T46=0, "Performing", T46&lt;=30, "Watch", T46&lt;=90, "Substandard", T46&gt;90, "Non-Performing")</f>
        <v>Performing</v>
      </c>
      <c r="F46" t="s">
        <v>718</v>
      </c>
      <c r="I46" t="s">
        <v>745</v>
      </c>
      <c r="J46" s="20">
        <v>44565</v>
      </c>
      <c r="K46">
        <f t="shared" si="3"/>
        <v>14</v>
      </c>
      <c r="L46" s="22">
        <v>45012</v>
      </c>
      <c r="M46" s="28">
        <f t="shared" ca="1" si="4"/>
        <v>0</v>
      </c>
      <c r="N46">
        <v>12</v>
      </c>
      <c r="O46" s="26">
        <f t="shared" si="5"/>
        <v>44930</v>
      </c>
      <c r="P46">
        <v>471000000</v>
      </c>
      <c r="Q46">
        <v>23.6</v>
      </c>
      <c r="R46">
        <v>412000000</v>
      </c>
      <c r="S46" t="s">
        <v>667</v>
      </c>
      <c r="T46">
        <v>0</v>
      </c>
      <c r="U46">
        <v>0</v>
      </c>
      <c r="V46" t="s">
        <v>699</v>
      </c>
    </row>
    <row r="47" spans="1:22" x14ac:dyDescent="0.25">
      <c r="A47" t="s">
        <v>862</v>
      </c>
      <c r="B47" t="s">
        <v>248</v>
      </c>
      <c r="C47" t="s">
        <v>46</v>
      </c>
      <c r="D47" t="s">
        <v>658</v>
      </c>
      <c r="E47" t="str" cm="1">
        <f t="array" ref="E47">_xlfn.IFS(T47=0, "Performing", T47&lt;=30, "Watch", T47&lt;=90, "Substandard", T47&gt;90, "Non-Performing")</f>
        <v>Performing</v>
      </c>
      <c r="F47" t="s">
        <v>709</v>
      </c>
      <c r="I47" t="s">
        <v>698</v>
      </c>
      <c r="J47" s="20">
        <v>44935</v>
      </c>
      <c r="K47">
        <f t="shared" si="3"/>
        <v>12</v>
      </c>
      <c r="L47" s="22">
        <v>45329</v>
      </c>
      <c r="M47" s="28">
        <f t="shared" ca="1" si="4"/>
        <v>0</v>
      </c>
      <c r="N47">
        <v>18</v>
      </c>
      <c r="O47" s="26">
        <f t="shared" si="5"/>
        <v>45482</v>
      </c>
      <c r="P47">
        <v>435000000</v>
      </c>
      <c r="Q47">
        <v>28</v>
      </c>
      <c r="R47">
        <v>410000000</v>
      </c>
      <c r="S47" t="s">
        <v>667</v>
      </c>
      <c r="T47">
        <v>0</v>
      </c>
      <c r="U47">
        <v>0</v>
      </c>
      <c r="V47" t="s">
        <v>702</v>
      </c>
    </row>
    <row r="48" spans="1:22" x14ac:dyDescent="0.25">
      <c r="A48" t="s">
        <v>731</v>
      </c>
      <c r="B48" t="s">
        <v>490</v>
      </c>
      <c r="C48" t="s">
        <v>53</v>
      </c>
      <c r="D48" t="s">
        <v>658</v>
      </c>
      <c r="E48" t="str" cm="1">
        <f t="array" ref="E48">_xlfn.IFS(T48=0, "Performing", T48&lt;=30, "Watch", T48&lt;=90, "Substandard", T48&gt;90, "Non-Performing")</f>
        <v>Performing</v>
      </c>
      <c r="F48" t="s">
        <v>711</v>
      </c>
      <c r="I48" t="s">
        <v>666</v>
      </c>
      <c r="J48" s="20">
        <v>45021</v>
      </c>
      <c r="K48">
        <f t="shared" si="3"/>
        <v>36</v>
      </c>
      <c r="L48" s="22">
        <v>46130</v>
      </c>
      <c r="M48" s="28">
        <f t="shared" ca="1" si="4"/>
        <v>0</v>
      </c>
      <c r="N48">
        <v>36</v>
      </c>
      <c r="O48" s="26">
        <f t="shared" si="5"/>
        <v>46117</v>
      </c>
      <c r="P48">
        <v>4579000000</v>
      </c>
      <c r="Q48">
        <v>21.6</v>
      </c>
      <c r="R48">
        <v>408000000</v>
      </c>
      <c r="S48" t="s">
        <v>667</v>
      </c>
      <c r="T48">
        <v>0</v>
      </c>
      <c r="U48">
        <v>0</v>
      </c>
    </row>
    <row r="49" spans="1:22" x14ac:dyDescent="0.25">
      <c r="A49" t="s">
        <v>822</v>
      </c>
      <c r="B49" t="s">
        <v>248</v>
      </c>
      <c r="C49" t="s">
        <v>33</v>
      </c>
      <c r="D49" t="s">
        <v>690</v>
      </c>
      <c r="E49" t="str" cm="1">
        <f t="array" ref="E49">_xlfn.IFS(T49=0, "Performing", T49&lt;=30, "Watch", T49&lt;=90, "Substandard", T49&gt;90, "Non-Performing")</f>
        <v>Performing</v>
      </c>
      <c r="F49" t="s">
        <v>687</v>
      </c>
      <c r="I49" t="s">
        <v>698</v>
      </c>
      <c r="J49" s="20">
        <v>44356</v>
      </c>
      <c r="K49">
        <f t="shared" si="3"/>
        <v>9</v>
      </c>
      <c r="L49" s="22">
        <v>44657</v>
      </c>
      <c r="M49" s="28">
        <f t="shared" ca="1" si="4"/>
        <v>0</v>
      </c>
      <c r="N49">
        <v>12</v>
      </c>
      <c r="O49" s="26">
        <f t="shared" si="5"/>
        <v>44721</v>
      </c>
      <c r="P49">
        <v>1875000000</v>
      </c>
      <c r="Q49">
        <v>26.4</v>
      </c>
      <c r="R49">
        <v>395000000</v>
      </c>
      <c r="S49" t="s">
        <v>675</v>
      </c>
      <c r="T49">
        <v>0</v>
      </c>
      <c r="U49">
        <v>0</v>
      </c>
      <c r="V49" t="s">
        <v>702</v>
      </c>
    </row>
    <row r="50" spans="1:22" x14ac:dyDescent="0.25">
      <c r="A50" t="s">
        <v>926</v>
      </c>
      <c r="B50" t="s">
        <v>603</v>
      </c>
      <c r="C50" t="s">
        <v>73</v>
      </c>
      <c r="D50" t="s">
        <v>673</v>
      </c>
      <c r="E50" t="str" cm="1">
        <f t="array" ref="E50">_xlfn.IFS(T50=0, "Performing", T50&lt;=30, "Watch", T50&lt;=90, "Substandard", T50&gt;90, "Non-Performing")</f>
        <v>Performing</v>
      </c>
      <c r="F50" t="s">
        <v>679</v>
      </c>
      <c r="I50" t="s">
        <v>660</v>
      </c>
      <c r="J50" s="20">
        <v>44282</v>
      </c>
      <c r="K50">
        <f t="shared" si="3"/>
        <v>43</v>
      </c>
      <c r="L50" s="22">
        <v>45599</v>
      </c>
      <c r="M50" s="28">
        <f t="shared" ca="1" si="4"/>
        <v>0</v>
      </c>
      <c r="N50">
        <v>36</v>
      </c>
      <c r="O50" s="26">
        <f t="shared" si="5"/>
        <v>45378</v>
      </c>
      <c r="P50">
        <v>3616000000</v>
      </c>
      <c r="Q50" t="s">
        <v>928</v>
      </c>
      <c r="R50">
        <v>379000000</v>
      </c>
      <c r="S50" t="s">
        <v>692</v>
      </c>
      <c r="T50">
        <v>0</v>
      </c>
      <c r="U50">
        <v>67</v>
      </c>
      <c r="V50" t="s">
        <v>714</v>
      </c>
    </row>
    <row r="51" spans="1:22" x14ac:dyDescent="0.25">
      <c r="A51" t="s">
        <v>860</v>
      </c>
      <c r="B51" t="s">
        <v>522</v>
      </c>
      <c r="C51" t="s">
        <v>60</v>
      </c>
      <c r="D51" t="s">
        <v>682</v>
      </c>
      <c r="E51" t="str" cm="1">
        <f t="array" ref="E51">_xlfn.IFS(T51=0, "Performing", T51&lt;=30, "Watch", T51&lt;=90, "Substandard", T51&gt;90, "Non-Performing")</f>
        <v>Performing</v>
      </c>
      <c r="F51" t="s">
        <v>665</v>
      </c>
      <c r="I51" t="s">
        <v>683</v>
      </c>
      <c r="J51" s="20">
        <v>45432</v>
      </c>
      <c r="K51">
        <f t="shared" si="3"/>
        <v>11</v>
      </c>
      <c r="L51" s="22">
        <v>45792</v>
      </c>
      <c r="M51" s="28">
        <f t="shared" ca="1" si="4"/>
        <v>0</v>
      </c>
      <c r="N51">
        <v>12</v>
      </c>
      <c r="O51" s="26">
        <f t="shared" si="5"/>
        <v>45797</v>
      </c>
      <c r="P51">
        <v>421000000</v>
      </c>
      <c r="Q51">
        <v>20.3</v>
      </c>
      <c r="R51">
        <v>372000000</v>
      </c>
      <c r="S51" t="s">
        <v>667</v>
      </c>
      <c r="T51">
        <v>0</v>
      </c>
      <c r="U51">
        <v>0</v>
      </c>
      <c r="V51" t="s">
        <v>668</v>
      </c>
    </row>
    <row r="52" spans="1:22" x14ac:dyDescent="0.25">
      <c r="A52" t="s">
        <v>786</v>
      </c>
      <c r="B52" t="s">
        <v>445</v>
      </c>
      <c r="C52" t="s">
        <v>39</v>
      </c>
      <c r="D52" t="s">
        <v>690</v>
      </c>
      <c r="E52" t="str" cm="1">
        <f t="array" ref="E52">_xlfn.IFS(T52=0, "Performing", T52&lt;=30, "Watch", T52&lt;=90, "Substandard", T52&gt;90, "Non-Performing")</f>
        <v>Watch</v>
      </c>
      <c r="F52" t="s">
        <v>760</v>
      </c>
      <c r="I52" t="s">
        <v>727</v>
      </c>
      <c r="J52" s="20">
        <v>44580</v>
      </c>
      <c r="K52">
        <f t="shared" si="3"/>
        <v>17</v>
      </c>
      <c r="L52" s="22">
        <v>45120</v>
      </c>
      <c r="M52" s="28">
        <f t="shared" ca="1" si="4"/>
        <v>0</v>
      </c>
      <c r="N52">
        <v>18</v>
      </c>
      <c r="O52" s="26">
        <f t="shared" si="5"/>
        <v>45126</v>
      </c>
      <c r="P52">
        <v>367000000</v>
      </c>
      <c r="Q52">
        <v>27.3</v>
      </c>
      <c r="R52">
        <v>367000000</v>
      </c>
      <c r="S52" t="s">
        <v>684</v>
      </c>
      <c r="T52">
        <v>1</v>
      </c>
      <c r="U52">
        <v>230</v>
      </c>
      <c r="V52" t="s">
        <v>736</v>
      </c>
    </row>
    <row r="53" spans="1:22" x14ac:dyDescent="0.25">
      <c r="A53" t="s">
        <v>781</v>
      </c>
      <c r="B53" t="s">
        <v>176</v>
      </c>
      <c r="C53" t="s">
        <v>39</v>
      </c>
      <c r="E53" t="str" cm="1">
        <f t="array" ref="E53">_xlfn.IFS(T53=0, "Performing", T53&lt;=30, "Watch", T53&lt;=90, "Substandard", T53&gt;90, "Non-Performing")</f>
        <v>Watch</v>
      </c>
      <c r="F53" t="s">
        <v>768</v>
      </c>
      <c r="I53" t="s">
        <v>698</v>
      </c>
      <c r="J53" s="20">
        <v>45129</v>
      </c>
      <c r="K53">
        <f t="shared" si="3"/>
        <v>59</v>
      </c>
      <c r="L53" s="22">
        <v>46929</v>
      </c>
      <c r="M53" s="28">
        <f t="shared" ca="1" si="4"/>
        <v>776</v>
      </c>
      <c r="N53">
        <v>60</v>
      </c>
      <c r="O53" s="26">
        <f t="shared" si="5"/>
        <v>46956</v>
      </c>
      <c r="P53">
        <v>316000000</v>
      </c>
      <c r="Q53">
        <v>20.7</v>
      </c>
      <c r="R53">
        <v>316000000</v>
      </c>
      <c r="S53" t="s">
        <v>684</v>
      </c>
      <c r="T53">
        <v>1</v>
      </c>
      <c r="U53">
        <v>554</v>
      </c>
      <c r="V53" t="s">
        <v>702</v>
      </c>
    </row>
    <row r="54" spans="1:22" x14ac:dyDescent="0.25">
      <c r="A54" t="s">
        <v>791</v>
      </c>
      <c r="B54" t="s">
        <v>603</v>
      </c>
      <c r="C54" t="s">
        <v>39</v>
      </c>
      <c r="D54" t="s">
        <v>673</v>
      </c>
      <c r="E54" t="str" cm="1">
        <f t="array" ref="E54">_xlfn.IFS(T54=0, "Performing", T54&lt;=30, "Watch", T54&lt;=90, "Substandard", T54&gt;90, "Non-Performing")</f>
        <v>Performing</v>
      </c>
      <c r="F54" t="s">
        <v>687</v>
      </c>
      <c r="I54" t="s">
        <v>683</v>
      </c>
      <c r="J54" s="20">
        <v>44856</v>
      </c>
      <c r="K54">
        <f t="shared" si="3"/>
        <v>59</v>
      </c>
      <c r="L54" s="22">
        <v>46656</v>
      </c>
      <c r="M54" s="28">
        <f t="shared" ca="1" si="4"/>
        <v>503</v>
      </c>
      <c r="N54">
        <v>60</v>
      </c>
      <c r="O54" s="26">
        <f t="shared" si="5"/>
        <v>46682</v>
      </c>
      <c r="P54">
        <v>439000000</v>
      </c>
      <c r="Q54">
        <v>16</v>
      </c>
      <c r="R54">
        <v>311000000</v>
      </c>
      <c r="S54" t="s">
        <v>667</v>
      </c>
      <c r="T54">
        <v>0</v>
      </c>
      <c r="U54">
        <v>0</v>
      </c>
      <c r="V54" t="s">
        <v>716</v>
      </c>
    </row>
    <row r="55" spans="1:22" x14ac:dyDescent="0.25">
      <c r="A55" t="s">
        <v>807</v>
      </c>
      <c r="B55" t="s">
        <v>89</v>
      </c>
      <c r="C55" t="s">
        <v>67</v>
      </c>
      <c r="D55" t="s">
        <v>752</v>
      </c>
      <c r="E55" t="str" cm="1">
        <f t="array" ref="E55">_xlfn.IFS(T55=0, "Performing", T55&lt;=30, "Watch", T55&lt;=90, "Substandard", T55&gt;90, "Non-Performing")</f>
        <v>Performing</v>
      </c>
      <c r="F55" t="s">
        <v>711</v>
      </c>
      <c r="I55" t="s">
        <v>680</v>
      </c>
      <c r="J55" s="20">
        <v>44877</v>
      </c>
      <c r="K55">
        <f t="shared" si="3"/>
        <v>48</v>
      </c>
      <c r="L55" s="22">
        <v>46346</v>
      </c>
      <c r="M55" s="28">
        <f t="shared" ca="1" si="4"/>
        <v>193</v>
      </c>
      <c r="N55">
        <v>48</v>
      </c>
      <c r="O55" s="26">
        <f t="shared" si="5"/>
        <v>46338</v>
      </c>
      <c r="P55">
        <v>499000000</v>
      </c>
      <c r="Q55" t="s">
        <v>809</v>
      </c>
      <c r="R55">
        <v>305000000</v>
      </c>
      <c r="S55" t="s">
        <v>667</v>
      </c>
      <c r="T55">
        <v>0</v>
      </c>
      <c r="U55">
        <v>0</v>
      </c>
      <c r="V55" t="s">
        <v>699</v>
      </c>
    </row>
    <row r="56" spans="1:22" x14ac:dyDescent="0.25">
      <c r="A56" t="s">
        <v>900</v>
      </c>
      <c r="B56" t="s">
        <v>187</v>
      </c>
      <c r="C56" t="s">
        <v>73</v>
      </c>
      <c r="D56" t="s">
        <v>722</v>
      </c>
      <c r="E56" t="str" cm="1">
        <f t="array" ref="E56">_xlfn.IFS(T56=0, "Performing", T56&lt;=30, "Watch", T56&lt;=90, "Substandard", T56&gt;90, "Non-Performing")</f>
        <v>Watch</v>
      </c>
      <c r="F56" t="s">
        <v>718</v>
      </c>
      <c r="I56" t="s">
        <v>671</v>
      </c>
      <c r="J56" s="20">
        <v>44293</v>
      </c>
      <c r="K56">
        <f t="shared" si="3"/>
        <v>14</v>
      </c>
      <c r="L56" s="22">
        <v>44741</v>
      </c>
      <c r="M56" s="28">
        <f t="shared" ca="1" si="4"/>
        <v>0</v>
      </c>
      <c r="N56">
        <v>12</v>
      </c>
      <c r="O56" s="26">
        <f t="shared" si="5"/>
        <v>44658</v>
      </c>
      <c r="P56">
        <v>302000000</v>
      </c>
      <c r="Q56">
        <v>19.899999999999999</v>
      </c>
      <c r="R56">
        <v>302000000</v>
      </c>
      <c r="S56" t="s">
        <v>684</v>
      </c>
      <c r="T56">
        <v>1</v>
      </c>
      <c r="U56">
        <v>471</v>
      </c>
      <c r="V56" t="s">
        <v>688</v>
      </c>
    </row>
    <row r="57" spans="1:22" x14ac:dyDescent="0.25">
      <c r="A57" t="s">
        <v>883</v>
      </c>
      <c r="B57" t="s">
        <v>159</v>
      </c>
      <c r="C57" t="s">
        <v>33</v>
      </c>
      <c r="D57" t="s">
        <v>701</v>
      </c>
      <c r="E57" t="str" cm="1">
        <f t="array" ref="E57">_xlfn.IFS(T57=0, "Performing", T57&lt;=30, "Watch", T57&lt;=90, "Substandard", T57&gt;90, "Non-Performing")</f>
        <v>Performing</v>
      </c>
      <c r="F57" t="s">
        <v>711</v>
      </c>
      <c r="I57" t="s">
        <v>698</v>
      </c>
      <c r="J57" s="20">
        <v>44360</v>
      </c>
      <c r="K57">
        <f t="shared" si="3"/>
        <v>35</v>
      </c>
      <c r="L57" s="22">
        <v>45440</v>
      </c>
      <c r="M57" s="28">
        <f t="shared" ca="1" si="4"/>
        <v>0</v>
      </c>
      <c r="N57">
        <v>36</v>
      </c>
      <c r="O57" s="26">
        <f t="shared" si="5"/>
        <v>45456</v>
      </c>
      <c r="P57">
        <v>420000000</v>
      </c>
      <c r="Q57">
        <v>22.6</v>
      </c>
      <c r="R57">
        <v>291000000</v>
      </c>
      <c r="S57" t="s">
        <v>692</v>
      </c>
      <c r="T57">
        <v>0</v>
      </c>
      <c r="U57">
        <v>69</v>
      </c>
      <c r="V57" t="s">
        <v>676</v>
      </c>
    </row>
    <row r="58" spans="1:22" x14ac:dyDescent="0.25">
      <c r="A58" t="s">
        <v>880</v>
      </c>
      <c r="B58" t="s">
        <v>327</v>
      </c>
      <c r="C58" t="s">
        <v>33</v>
      </c>
      <c r="D58" t="s">
        <v>664</v>
      </c>
      <c r="E58" t="str" cm="1">
        <f t="array" ref="E58">_xlfn.IFS(T58=0, "Performing", T58&lt;=30, "Watch", T58&lt;=90, "Substandard", T58&gt;90, "Non-Performing")</f>
        <v>Performing</v>
      </c>
      <c r="F58" t="s">
        <v>687</v>
      </c>
      <c r="I58" t="s">
        <v>712</v>
      </c>
      <c r="J58" s="20">
        <v>45055</v>
      </c>
      <c r="K58">
        <f t="shared" si="3"/>
        <v>63</v>
      </c>
      <c r="L58" s="22">
        <v>47004</v>
      </c>
      <c r="M58" s="28">
        <f t="shared" ca="1" si="4"/>
        <v>851</v>
      </c>
      <c r="N58">
        <v>60</v>
      </c>
      <c r="O58" s="26">
        <f t="shared" si="5"/>
        <v>46882</v>
      </c>
      <c r="P58">
        <v>489000000</v>
      </c>
      <c r="Q58">
        <v>22.4</v>
      </c>
      <c r="R58">
        <v>285000000</v>
      </c>
      <c r="S58" t="s">
        <v>692</v>
      </c>
      <c r="T58">
        <v>0</v>
      </c>
      <c r="U58">
        <v>43</v>
      </c>
      <c r="V58" t="s">
        <v>676</v>
      </c>
    </row>
    <row r="59" spans="1:22" x14ac:dyDescent="0.25">
      <c r="A59" t="s">
        <v>728</v>
      </c>
      <c r="B59" t="s">
        <v>248</v>
      </c>
      <c r="C59" t="s">
        <v>33</v>
      </c>
      <c r="D59" t="s">
        <v>673</v>
      </c>
      <c r="E59" t="str" cm="1">
        <f t="array" ref="E59">_xlfn.IFS(T59=0, "Performing", T59&lt;=30, "Watch", T59&lt;=90, "Substandard", T59&gt;90, "Non-Performing")</f>
        <v>Performing</v>
      </c>
      <c r="F59" t="s">
        <v>687</v>
      </c>
      <c r="I59" t="s">
        <v>671</v>
      </c>
      <c r="J59" s="20">
        <v>45179</v>
      </c>
      <c r="K59">
        <f t="shared" si="3"/>
        <v>8</v>
      </c>
      <c r="L59" s="22">
        <v>45447</v>
      </c>
      <c r="M59" s="28">
        <f t="shared" ca="1" si="4"/>
        <v>0</v>
      </c>
      <c r="N59">
        <v>6</v>
      </c>
      <c r="O59" s="26">
        <f t="shared" si="5"/>
        <v>45361</v>
      </c>
      <c r="P59">
        <v>333000000</v>
      </c>
      <c r="Q59">
        <v>25.3</v>
      </c>
      <c r="R59">
        <v>277000000</v>
      </c>
      <c r="S59" t="s">
        <v>692</v>
      </c>
      <c r="T59">
        <v>0</v>
      </c>
      <c r="U59">
        <v>87</v>
      </c>
      <c r="V59" t="s">
        <v>662</v>
      </c>
    </row>
    <row r="60" spans="1:22" x14ac:dyDescent="0.25">
      <c r="A60" t="s">
        <v>814</v>
      </c>
      <c r="B60" t="s">
        <v>315</v>
      </c>
      <c r="C60" t="s">
        <v>33</v>
      </c>
      <c r="D60" t="s">
        <v>752</v>
      </c>
      <c r="E60" t="str" cm="1">
        <f t="array" ref="E60">_xlfn.IFS(T60=0, "Performing", T60&lt;=30, "Watch", T60&lt;=90, "Substandard", T60&gt;90, "Non-Performing")</f>
        <v>Performing</v>
      </c>
      <c r="F60" t="s">
        <v>111</v>
      </c>
      <c r="I60" t="s">
        <v>745</v>
      </c>
      <c r="J60" s="20">
        <v>44512</v>
      </c>
      <c r="K60">
        <f t="shared" si="3"/>
        <v>36</v>
      </c>
      <c r="L60" s="22">
        <v>45621</v>
      </c>
      <c r="M60" s="28">
        <f t="shared" ca="1" si="4"/>
        <v>0</v>
      </c>
      <c r="N60">
        <v>36</v>
      </c>
      <c r="O60" s="26">
        <f t="shared" si="5"/>
        <v>45608</v>
      </c>
      <c r="P60">
        <v>470000000</v>
      </c>
      <c r="Q60">
        <v>14.4</v>
      </c>
      <c r="R60">
        <v>266000000</v>
      </c>
      <c r="S60" t="s">
        <v>667</v>
      </c>
      <c r="T60">
        <v>0</v>
      </c>
      <c r="U60">
        <v>0</v>
      </c>
      <c r="V60" t="s">
        <v>702</v>
      </c>
    </row>
    <row r="61" spans="1:22" x14ac:dyDescent="0.25">
      <c r="A61" t="s">
        <v>906</v>
      </c>
      <c r="B61" t="s">
        <v>440</v>
      </c>
      <c r="C61" t="s">
        <v>39</v>
      </c>
      <c r="D61" t="s">
        <v>682</v>
      </c>
      <c r="E61" t="str" cm="1">
        <f t="array" ref="E61">_xlfn.IFS(T61=0, "Performing", T61&lt;=30, "Watch", T61&lt;=90, "Substandard", T61&gt;90, "Non-Performing")</f>
        <v>Performing</v>
      </c>
      <c r="F61" t="s">
        <v>760</v>
      </c>
      <c r="I61" t="s">
        <v>698</v>
      </c>
      <c r="J61" s="20">
        <v>45036</v>
      </c>
      <c r="K61">
        <f t="shared" si="3"/>
        <v>47</v>
      </c>
      <c r="L61" s="22">
        <v>46476</v>
      </c>
      <c r="M61" s="28">
        <f t="shared" ca="1" si="4"/>
        <v>323</v>
      </c>
      <c r="N61">
        <v>48</v>
      </c>
      <c r="O61" s="26">
        <f t="shared" si="5"/>
        <v>46497</v>
      </c>
      <c r="P61">
        <v>1288000000</v>
      </c>
      <c r="Q61">
        <v>23.2</v>
      </c>
      <c r="R61">
        <v>255000000</v>
      </c>
      <c r="S61" t="s">
        <v>720</v>
      </c>
      <c r="T61">
        <v>0</v>
      </c>
      <c r="U61">
        <v>0</v>
      </c>
      <c r="V61" t="s">
        <v>668</v>
      </c>
    </row>
    <row r="62" spans="1:22" x14ac:dyDescent="0.25">
      <c r="A62" t="s">
        <v>861</v>
      </c>
      <c r="B62" t="s">
        <v>392</v>
      </c>
      <c r="C62" t="s">
        <v>39</v>
      </c>
      <c r="D62" t="s">
        <v>752</v>
      </c>
      <c r="E62" t="str" cm="1">
        <f t="array" ref="E62">_xlfn.IFS(T62=0, "Performing", T62&lt;=30, "Watch", T62&lt;=90, "Substandard", T62&gt;90, "Non-Performing")</f>
        <v>Performing</v>
      </c>
      <c r="F62" t="s">
        <v>687</v>
      </c>
      <c r="I62" t="s">
        <v>698</v>
      </c>
      <c r="J62" s="20">
        <v>45478</v>
      </c>
      <c r="K62">
        <f t="shared" si="3"/>
        <v>0</v>
      </c>
      <c r="L62" s="22">
        <v>45362</v>
      </c>
      <c r="M62" s="28">
        <f t="shared" ca="1" si="4"/>
        <v>0</v>
      </c>
      <c r="N62">
        <v>6</v>
      </c>
      <c r="O62" s="26">
        <f t="shared" si="5"/>
        <v>45662</v>
      </c>
      <c r="P62">
        <v>370000000</v>
      </c>
      <c r="Q62">
        <v>25.1</v>
      </c>
      <c r="R62">
        <v>232000000</v>
      </c>
      <c r="S62" t="s">
        <v>692</v>
      </c>
      <c r="T62">
        <v>0</v>
      </c>
      <c r="U62">
        <v>81</v>
      </c>
      <c r="V62" t="s">
        <v>702</v>
      </c>
    </row>
    <row r="63" spans="1:22" x14ac:dyDescent="0.25">
      <c r="A63" t="s">
        <v>885</v>
      </c>
      <c r="B63" t="s">
        <v>631</v>
      </c>
      <c r="C63" t="s">
        <v>60</v>
      </c>
      <c r="D63" t="s">
        <v>686</v>
      </c>
      <c r="E63" t="str" cm="1">
        <f t="array" ref="E63">_xlfn.IFS(T63=0, "Performing", T63&lt;=30, "Watch", T63&lt;=90, "Substandard", T63&gt;90, "Non-Performing")</f>
        <v>Performing</v>
      </c>
      <c r="F63" t="s">
        <v>760</v>
      </c>
      <c r="I63" t="s">
        <v>671</v>
      </c>
      <c r="J63" s="20">
        <v>45438</v>
      </c>
      <c r="K63">
        <f t="shared" si="3"/>
        <v>11</v>
      </c>
      <c r="L63" s="22">
        <v>45798</v>
      </c>
      <c r="M63" s="28">
        <f t="shared" ca="1" si="4"/>
        <v>0</v>
      </c>
      <c r="N63">
        <v>12</v>
      </c>
      <c r="O63" s="26">
        <f t="shared" si="5"/>
        <v>45803</v>
      </c>
      <c r="P63">
        <v>256000000</v>
      </c>
      <c r="Q63">
        <v>16.5</v>
      </c>
      <c r="R63">
        <v>219000000</v>
      </c>
      <c r="S63" t="s">
        <v>692</v>
      </c>
      <c r="T63">
        <v>0</v>
      </c>
      <c r="U63">
        <v>35</v>
      </c>
      <c r="V63" t="s">
        <v>714</v>
      </c>
    </row>
    <row r="64" spans="1:22" x14ac:dyDescent="0.25">
      <c r="A64" t="s">
        <v>920</v>
      </c>
      <c r="B64" t="s">
        <v>498</v>
      </c>
      <c r="C64" t="s">
        <v>53</v>
      </c>
      <c r="D64" t="s">
        <v>658</v>
      </c>
      <c r="E64" t="str" cm="1">
        <f t="array" ref="E64">_xlfn.IFS(T64=0, "Performing", T64&lt;=30, "Watch", T64&lt;=90, "Substandard", T64&gt;90, "Non-Performing")</f>
        <v>Performing</v>
      </c>
      <c r="F64" t="s">
        <v>709</v>
      </c>
      <c r="I64" t="s">
        <v>674</v>
      </c>
      <c r="J64" s="20">
        <v>44236</v>
      </c>
      <c r="K64">
        <f t="shared" si="3"/>
        <v>12</v>
      </c>
      <c r="L64" s="22">
        <v>44628</v>
      </c>
      <c r="M64" s="28">
        <f t="shared" ca="1" si="4"/>
        <v>0</v>
      </c>
      <c r="N64">
        <v>18</v>
      </c>
      <c r="O64" s="26">
        <f t="shared" si="5"/>
        <v>44782</v>
      </c>
      <c r="P64">
        <v>247000000</v>
      </c>
      <c r="Q64">
        <v>21.1</v>
      </c>
      <c r="R64">
        <v>213000000</v>
      </c>
      <c r="S64" t="s">
        <v>667</v>
      </c>
      <c r="T64">
        <v>0</v>
      </c>
      <c r="U64">
        <v>0</v>
      </c>
      <c r="V64" t="s">
        <v>702</v>
      </c>
    </row>
    <row r="65" spans="1:22" x14ac:dyDescent="0.25">
      <c r="A65" t="s">
        <v>776</v>
      </c>
      <c r="B65" t="s">
        <v>89</v>
      </c>
      <c r="C65" t="s">
        <v>67</v>
      </c>
      <c r="D65" t="s">
        <v>686</v>
      </c>
      <c r="E65" t="str" cm="1">
        <f t="array" ref="E65">_xlfn.IFS(T65=0, "Performing", T65&lt;=30, "Watch", T65&lt;=90, "Substandard", T65&gt;90, "Non-Performing")</f>
        <v>Performing</v>
      </c>
      <c r="F65" t="s">
        <v>694</v>
      </c>
      <c r="I65" t="s">
        <v>660</v>
      </c>
      <c r="J65" s="20">
        <v>44723</v>
      </c>
      <c r="K65">
        <f t="shared" si="3"/>
        <v>28</v>
      </c>
      <c r="L65" s="22">
        <v>45591</v>
      </c>
      <c r="M65" s="28">
        <f t="shared" ca="1" si="4"/>
        <v>0</v>
      </c>
      <c r="N65">
        <v>24</v>
      </c>
      <c r="O65" s="26">
        <f t="shared" si="5"/>
        <v>45454</v>
      </c>
      <c r="P65">
        <v>270000000</v>
      </c>
      <c r="Q65">
        <v>18.5</v>
      </c>
      <c r="R65">
        <v>208000000</v>
      </c>
      <c r="S65" t="s">
        <v>667</v>
      </c>
      <c r="T65">
        <v>0</v>
      </c>
      <c r="U65">
        <v>0</v>
      </c>
      <c r="V65" t="s">
        <v>702</v>
      </c>
    </row>
    <row r="66" spans="1:22" x14ac:dyDescent="0.25">
      <c r="A66" t="s">
        <v>719</v>
      </c>
      <c r="B66" t="s">
        <v>579</v>
      </c>
      <c r="C66" t="s">
        <v>73</v>
      </c>
      <c r="D66" t="s">
        <v>701</v>
      </c>
      <c r="E66" t="str" cm="1">
        <f t="array" ref="E66">_xlfn.IFS(T66=0, "Performing", T66&lt;=30, "Watch", T66&lt;=90, "Substandard", T66&gt;90, "Non-Performing")</f>
        <v>Performing</v>
      </c>
      <c r="F66" t="s">
        <v>718</v>
      </c>
      <c r="I66" t="s">
        <v>695</v>
      </c>
      <c r="J66" s="20">
        <v>44588</v>
      </c>
      <c r="K66">
        <f t="shared" ref="K66:K97" si="6">IF(J66 &gt; L66, 0, DATEDIF(J66, L66, "m"))</f>
        <v>17</v>
      </c>
      <c r="L66" s="22">
        <v>45128</v>
      </c>
      <c r="M66" s="28">
        <f t="shared" ref="M66:M97" ca="1" si="7">MAX(0, L66 - TODAY())</f>
        <v>0</v>
      </c>
      <c r="N66">
        <v>18</v>
      </c>
      <c r="O66" s="26">
        <f t="shared" ref="O66:O97" si="8">EDATE(J66, N66)</f>
        <v>45134</v>
      </c>
      <c r="P66">
        <v>891000000</v>
      </c>
      <c r="Q66">
        <v>18.600000000000001</v>
      </c>
      <c r="R66">
        <v>205000000</v>
      </c>
      <c r="S66" t="s">
        <v>720</v>
      </c>
      <c r="T66">
        <v>0</v>
      </c>
      <c r="U66">
        <v>0</v>
      </c>
      <c r="V66" t="s">
        <v>716</v>
      </c>
    </row>
    <row r="67" spans="1:22" x14ac:dyDescent="0.25">
      <c r="A67" t="s">
        <v>787</v>
      </c>
      <c r="B67" t="s">
        <v>449</v>
      </c>
      <c r="C67" t="s">
        <v>25</v>
      </c>
      <c r="D67" t="s">
        <v>673</v>
      </c>
      <c r="E67" t="str" cm="1">
        <f t="array" ref="E67">_xlfn.IFS(T67=0, "Performing", T67&lt;=30, "Watch", T67&lt;=90, "Substandard", T67&gt;90, "Non-Performing")</f>
        <v>Watch</v>
      </c>
      <c r="F67" t="s">
        <v>760</v>
      </c>
      <c r="I67" t="s">
        <v>745</v>
      </c>
      <c r="J67" s="20">
        <v>44759</v>
      </c>
      <c r="K67">
        <f t="shared" si="6"/>
        <v>16</v>
      </c>
      <c r="L67" s="22">
        <v>45267</v>
      </c>
      <c r="M67" s="28">
        <f t="shared" ca="1" si="7"/>
        <v>0</v>
      </c>
      <c r="N67">
        <v>12</v>
      </c>
      <c r="O67" s="26">
        <f t="shared" si="8"/>
        <v>45124</v>
      </c>
      <c r="P67">
        <v>197000000</v>
      </c>
      <c r="Q67">
        <v>21.9</v>
      </c>
      <c r="R67">
        <v>197000000</v>
      </c>
      <c r="S67" t="s">
        <v>684</v>
      </c>
      <c r="T67">
        <v>1</v>
      </c>
      <c r="U67">
        <v>653</v>
      </c>
      <c r="V67" t="s">
        <v>714</v>
      </c>
    </row>
    <row r="68" spans="1:22" x14ac:dyDescent="0.25">
      <c r="A68" t="s">
        <v>735</v>
      </c>
      <c r="B68" t="s">
        <v>287</v>
      </c>
      <c r="C68" t="s">
        <v>25</v>
      </c>
      <c r="D68" t="s">
        <v>670</v>
      </c>
      <c r="E68" t="str" cm="1">
        <f t="array" ref="E68">_xlfn.IFS(T68=0, "Performing", T68&lt;=30, "Watch", T68&lt;=90, "Substandard", T68&gt;90, "Non-Performing")</f>
        <v>Performing</v>
      </c>
      <c r="F68" t="s">
        <v>679</v>
      </c>
      <c r="I68" t="s">
        <v>727</v>
      </c>
      <c r="J68" s="20">
        <v>44738</v>
      </c>
      <c r="K68">
        <f t="shared" si="6"/>
        <v>46</v>
      </c>
      <c r="L68" s="22">
        <v>46148</v>
      </c>
      <c r="M68" s="28">
        <f t="shared" ca="1" si="7"/>
        <v>0</v>
      </c>
      <c r="N68">
        <v>48</v>
      </c>
      <c r="O68" s="26">
        <f t="shared" si="8"/>
        <v>46199</v>
      </c>
      <c r="P68">
        <v>441000000</v>
      </c>
      <c r="Q68">
        <v>14.6</v>
      </c>
      <c r="R68">
        <v>193000000</v>
      </c>
      <c r="S68" t="s">
        <v>720</v>
      </c>
      <c r="T68">
        <v>0</v>
      </c>
      <c r="U68">
        <v>0</v>
      </c>
      <c r="V68" t="s">
        <v>736</v>
      </c>
    </row>
    <row r="69" spans="1:22" x14ac:dyDescent="0.25">
      <c r="A69" t="s">
        <v>851</v>
      </c>
      <c r="B69" t="s">
        <v>445</v>
      </c>
      <c r="C69" t="s">
        <v>46</v>
      </c>
      <c r="D69" t="s">
        <v>658</v>
      </c>
      <c r="E69" t="str" cm="1">
        <f t="array" ref="E69">_xlfn.IFS(T69=0, "Performing", T69&lt;=30, "Watch", T69&lt;=90, "Substandard", T69&gt;90, "Non-Performing")</f>
        <v>Performing</v>
      </c>
      <c r="F69" t="s">
        <v>768</v>
      </c>
      <c r="I69" t="s">
        <v>698</v>
      </c>
      <c r="J69" s="20">
        <v>44941</v>
      </c>
      <c r="K69">
        <f t="shared" si="6"/>
        <v>59</v>
      </c>
      <c r="L69" s="22">
        <v>46741</v>
      </c>
      <c r="M69" s="28">
        <f t="shared" ca="1" si="7"/>
        <v>588</v>
      </c>
      <c r="N69">
        <v>60</v>
      </c>
      <c r="O69" s="26">
        <f t="shared" si="8"/>
        <v>46767</v>
      </c>
      <c r="P69">
        <v>468000000</v>
      </c>
      <c r="Q69">
        <v>18.600000000000001</v>
      </c>
      <c r="R69">
        <v>192000000</v>
      </c>
      <c r="S69" t="s">
        <v>692</v>
      </c>
      <c r="T69">
        <v>0</v>
      </c>
      <c r="U69">
        <v>76</v>
      </c>
      <c r="V69" t="s">
        <v>702</v>
      </c>
    </row>
    <row r="70" spans="1:22" x14ac:dyDescent="0.25">
      <c r="A70" t="s">
        <v>917</v>
      </c>
      <c r="B70" t="s">
        <v>239</v>
      </c>
      <c r="C70" t="s">
        <v>53</v>
      </c>
      <c r="D70" t="s">
        <v>707</v>
      </c>
      <c r="E70" t="str" cm="1">
        <f t="array" ref="E70">_xlfn.IFS(T70=0, "Performing", T70&lt;=30, "Watch", T70&lt;=90, "Substandard", T70&gt;90, "Non-Performing")</f>
        <v>Performing</v>
      </c>
      <c r="F70" t="s">
        <v>111</v>
      </c>
      <c r="I70" t="s">
        <v>666</v>
      </c>
      <c r="J70" s="20">
        <v>44486</v>
      </c>
      <c r="K70">
        <f t="shared" si="6"/>
        <v>47</v>
      </c>
      <c r="L70" s="22">
        <v>45926</v>
      </c>
      <c r="M70" s="28">
        <f t="shared" ca="1" si="7"/>
        <v>0</v>
      </c>
      <c r="N70">
        <v>48</v>
      </c>
      <c r="O70" s="26">
        <f t="shared" si="8"/>
        <v>45947</v>
      </c>
      <c r="P70">
        <v>392000000</v>
      </c>
      <c r="Q70" t="s">
        <v>918</v>
      </c>
      <c r="R70">
        <v>187000000</v>
      </c>
      <c r="S70" t="s">
        <v>919</v>
      </c>
      <c r="T70">
        <v>0</v>
      </c>
      <c r="U70">
        <v>0</v>
      </c>
      <c r="V70" t="s">
        <v>699</v>
      </c>
    </row>
    <row r="71" spans="1:22" x14ac:dyDescent="0.25">
      <c r="A71" t="s">
        <v>905</v>
      </c>
      <c r="B71" t="s">
        <v>203</v>
      </c>
      <c r="C71" t="s">
        <v>73</v>
      </c>
      <c r="D71" t="s">
        <v>701</v>
      </c>
      <c r="E71" t="str" cm="1">
        <f t="array" ref="E71">_xlfn.IFS(T71=0, "Performing", T71&lt;=30, "Watch", T71&lt;=90, "Substandard", T71&gt;90, "Non-Performing")</f>
        <v>Performing</v>
      </c>
      <c r="F71" t="s">
        <v>760</v>
      </c>
      <c r="I71" t="s">
        <v>680</v>
      </c>
      <c r="J71" s="20">
        <v>44948</v>
      </c>
      <c r="K71">
        <f t="shared" si="6"/>
        <v>33</v>
      </c>
      <c r="L71" s="22">
        <v>45962</v>
      </c>
      <c r="M71" s="28">
        <f t="shared" ca="1" si="7"/>
        <v>0</v>
      </c>
      <c r="N71">
        <v>24</v>
      </c>
      <c r="O71" s="26">
        <f t="shared" si="8"/>
        <v>45679</v>
      </c>
      <c r="P71">
        <v>447000000</v>
      </c>
      <c r="Q71">
        <v>24.3</v>
      </c>
      <c r="R71">
        <v>175000000</v>
      </c>
      <c r="S71" t="s">
        <v>720</v>
      </c>
      <c r="T71">
        <v>0</v>
      </c>
      <c r="U71">
        <v>0</v>
      </c>
    </row>
    <row r="72" spans="1:22" x14ac:dyDescent="0.25">
      <c r="A72" t="s">
        <v>754</v>
      </c>
      <c r="B72" t="s">
        <v>239</v>
      </c>
      <c r="C72" t="s">
        <v>73</v>
      </c>
      <c r="D72" t="s">
        <v>670</v>
      </c>
      <c r="E72" t="str" cm="1">
        <f t="array" ref="E72">_xlfn.IFS(T72=0, "Performing", T72&lt;=30, "Watch", T72&lt;=90, "Substandard", T72&gt;90, "Non-Performing")</f>
        <v>Performing</v>
      </c>
      <c r="F72" t="s">
        <v>665</v>
      </c>
      <c r="I72" t="s">
        <v>691</v>
      </c>
      <c r="J72" s="20">
        <v>44310</v>
      </c>
      <c r="K72">
        <f t="shared" si="6"/>
        <v>23</v>
      </c>
      <c r="L72" s="22">
        <v>45030</v>
      </c>
      <c r="M72" s="28">
        <f t="shared" ca="1" si="7"/>
        <v>0</v>
      </c>
      <c r="N72">
        <v>24</v>
      </c>
      <c r="O72" s="26">
        <f t="shared" si="8"/>
        <v>45040</v>
      </c>
      <c r="P72">
        <v>312000000</v>
      </c>
      <c r="Q72">
        <v>21.9</v>
      </c>
      <c r="R72">
        <v>167000000</v>
      </c>
      <c r="S72" t="s">
        <v>692</v>
      </c>
      <c r="T72">
        <v>0</v>
      </c>
      <c r="U72">
        <v>82</v>
      </c>
    </row>
    <row r="73" spans="1:22" x14ac:dyDescent="0.25">
      <c r="A73" t="s">
        <v>827</v>
      </c>
      <c r="B73" t="s">
        <v>165</v>
      </c>
      <c r="C73" t="s">
        <v>33</v>
      </c>
      <c r="D73" t="s">
        <v>658</v>
      </c>
      <c r="E73" t="str" cm="1">
        <f t="array" ref="E73">_xlfn.IFS(T73=0, "Performing", T73&lt;=30, "Watch", T73&lt;=90, "Substandard", T73&gt;90, "Non-Performing")</f>
        <v>Watch</v>
      </c>
      <c r="F73" t="s">
        <v>709</v>
      </c>
      <c r="I73" t="s">
        <v>680</v>
      </c>
      <c r="J73" s="20">
        <v>45044</v>
      </c>
      <c r="K73">
        <f t="shared" si="6"/>
        <v>56</v>
      </c>
      <c r="L73" s="22">
        <v>46756</v>
      </c>
      <c r="M73" s="28">
        <f t="shared" ca="1" si="7"/>
        <v>603</v>
      </c>
      <c r="N73">
        <v>60</v>
      </c>
      <c r="O73" s="26">
        <f t="shared" si="8"/>
        <v>46871</v>
      </c>
      <c r="P73">
        <v>166000000</v>
      </c>
      <c r="Q73">
        <v>25.5</v>
      </c>
      <c r="R73">
        <v>166000000</v>
      </c>
      <c r="S73" t="s">
        <v>684</v>
      </c>
      <c r="T73">
        <v>1</v>
      </c>
      <c r="U73">
        <v>639</v>
      </c>
    </row>
    <row r="74" spans="1:22" x14ac:dyDescent="0.25">
      <c r="A74" t="s">
        <v>788</v>
      </c>
      <c r="B74" t="s">
        <v>380</v>
      </c>
      <c r="C74" t="s">
        <v>46</v>
      </c>
      <c r="D74" t="s">
        <v>664</v>
      </c>
      <c r="E74" t="str" cm="1">
        <f t="array" ref="E74">_xlfn.IFS(T74=0, "Performing", T74&lt;=30, "Watch", T74&lt;=90, "Substandard", T74&gt;90, "Non-Performing")</f>
        <v>Performing</v>
      </c>
      <c r="F74" t="s">
        <v>659</v>
      </c>
      <c r="I74" t="s">
        <v>683</v>
      </c>
      <c r="J74" s="20">
        <v>44703</v>
      </c>
      <c r="K74">
        <f t="shared" si="6"/>
        <v>17</v>
      </c>
      <c r="L74" s="22">
        <v>45243</v>
      </c>
      <c r="M74" s="28">
        <f t="shared" ca="1" si="7"/>
        <v>0</v>
      </c>
      <c r="N74">
        <v>18</v>
      </c>
      <c r="O74" s="26">
        <f t="shared" si="8"/>
        <v>45252</v>
      </c>
      <c r="P74">
        <v>280000000</v>
      </c>
      <c r="Q74">
        <v>26.1</v>
      </c>
      <c r="R74">
        <v>155000000</v>
      </c>
      <c r="S74" t="s">
        <v>720</v>
      </c>
      <c r="T74">
        <v>0</v>
      </c>
      <c r="U74">
        <v>0</v>
      </c>
      <c r="V74" t="s">
        <v>662</v>
      </c>
    </row>
    <row r="75" spans="1:22" x14ac:dyDescent="0.25">
      <c r="A75" t="s">
        <v>742</v>
      </c>
      <c r="B75" t="s">
        <v>514</v>
      </c>
      <c r="C75" t="s">
        <v>53</v>
      </c>
      <c r="D75" t="s">
        <v>682</v>
      </c>
      <c r="E75" t="str" cm="1">
        <f t="array" ref="E75">_xlfn.IFS(T75=0, "Performing", T75&lt;=30, "Watch", T75&lt;=90, "Substandard", T75&gt;90, "Non-Performing")</f>
        <v>Performing</v>
      </c>
      <c r="F75" t="s">
        <v>111</v>
      </c>
      <c r="I75" t="s">
        <v>671</v>
      </c>
      <c r="J75" s="20">
        <v>44701</v>
      </c>
      <c r="K75">
        <f t="shared" si="6"/>
        <v>17</v>
      </c>
      <c r="L75" s="22">
        <v>45241</v>
      </c>
      <c r="M75" s="28">
        <f t="shared" ca="1" si="7"/>
        <v>0</v>
      </c>
      <c r="N75">
        <v>18</v>
      </c>
      <c r="O75" s="26">
        <f t="shared" si="8"/>
        <v>45250</v>
      </c>
      <c r="P75">
        <v>202000000</v>
      </c>
      <c r="Q75">
        <v>24.8</v>
      </c>
      <c r="R75">
        <v>154000000</v>
      </c>
      <c r="S75" t="s">
        <v>667</v>
      </c>
      <c r="T75">
        <v>0</v>
      </c>
      <c r="U75">
        <v>0</v>
      </c>
      <c r="V75" t="s">
        <v>688</v>
      </c>
    </row>
    <row r="76" spans="1:22" x14ac:dyDescent="0.25">
      <c r="A76" t="s">
        <v>929</v>
      </c>
      <c r="B76" t="s">
        <v>539</v>
      </c>
      <c r="C76" t="s">
        <v>25</v>
      </c>
      <c r="D76" t="s">
        <v>707</v>
      </c>
      <c r="E76" t="str" cm="1">
        <f t="array" ref="E76">_xlfn.IFS(T76=0, "Performing", T76&lt;=30, "Watch", T76&lt;=90, "Substandard", T76&gt;90, "Non-Performing")</f>
        <v>Watch</v>
      </c>
      <c r="F76" t="s">
        <v>679</v>
      </c>
      <c r="I76" t="s">
        <v>680</v>
      </c>
      <c r="J76" s="20">
        <v>44504</v>
      </c>
      <c r="K76">
        <f t="shared" si="6"/>
        <v>7</v>
      </c>
      <c r="L76" s="22">
        <v>44716</v>
      </c>
      <c r="M76" s="28">
        <f t="shared" ca="1" si="7"/>
        <v>0</v>
      </c>
      <c r="N76">
        <v>12</v>
      </c>
      <c r="O76" s="26">
        <f t="shared" si="8"/>
        <v>44869</v>
      </c>
      <c r="P76">
        <v>275000000</v>
      </c>
      <c r="Q76">
        <v>24.8</v>
      </c>
      <c r="R76">
        <v>147000000</v>
      </c>
      <c r="S76" t="s">
        <v>661</v>
      </c>
      <c r="T76">
        <v>1</v>
      </c>
      <c r="U76">
        <v>523</v>
      </c>
      <c r="V76" t="s">
        <v>699</v>
      </c>
    </row>
    <row r="77" spans="1:22" x14ac:dyDescent="0.25">
      <c r="A77" t="s">
        <v>899</v>
      </c>
      <c r="B77" t="s">
        <v>424</v>
      </c>
      <c r="C77" t="s">
        <v>53</v>
      </c>
      <c r="D77" t="s">
        <v>701</v>
      </c>
      <c r="E77" t="str" cm="1">
        <f t="array" ref="E77">_xlfn.IFS(T77=0, "Performing", T77&lt;=30, "Watch", T77&lt;=90, "Substandard", T77&gt;90, "Non-Performing")</f>
        <v>Watch</v>
      </c>
      <c r="F77" t="s">
        <v>665</v>
      </c>
      <c r="I77" t="s">
        <v>712</v>
      </c>
      <c r="J77" s="20">
        <v>45042</v>
      </c>
      <c r="K77">
        <f t="shared" si="6"/>
        <v>11</v>
      </c>
      <c r="L77" s="22">
        <v>45402</v>
      </c>
      <c r="M77" s="28">
        <f t="shared" ca="1" si="7"/>
        <v>0</v>
      </c>
      <c r="N77">
        <v>12</v>
      </c>
      <c r="O77" s="26">
        <f t="shared" si="8"/>
        <v>45408</v>
      </c>
      <c r="P77">
        <v>143000000</v>
      </c>
      <c r="Q77">
        <v>15.5</v>
      </c>
      <c r="R77">
        <v>143000000</v>
      </c>
      <c r="S77" t="s">
        <v>684</v>
      </c>
      <c r="T77">
        <v>1</v>
      </c>
      <c r="U77">
        <v>554</v>
      </c>
    </row>
    <row r="78" spans="1:22" x14ac:dyDescent="0.25">
      <c r="A78" t="s">
        <v>859</v>
      </c>
      <c r="B78" t="s">
        <v>474</v>
      </c>
      <c r="C78" t="s">
        <v>46</v>
      </c>
      <c r="D78" t="s">
        <v>722</v>
      </c>
      <c r="E78" t="str" cm="1">
        <f t="array" ref="E78">_xlfn.IFS(T78=0, "Performing", T78&lt;=30, "Watch", T78&lt;=90, "Substandard", T78&gt;90, "Non-Performing")</f>
        <v>Performing</v>
      </c>
      <c r="F78" t="s">
        <v>665</v>
      </c>
      <c r="I78" t="s">
        <v>660</v>
      </c>
      <c r="J78" s="20">
        <v>44597</v>
      </c>
      <c r="K78">
        <f t="shared" si="6"/>
        <v>38</v>
      </c>
      <c r="L78" s="22">
        <v>45763</v>
      </c>
      <c r="M78" s="28">
        <f t="shared" ca="1" si="7"/>
        <v>0</v>
      </c>
      <c r="N78">
        <v>36</v>
      </c>
      <c r="O78" s="26">
        <f t="shared" si="8"/>
        <v>45693</v>
      </c>
      <c r="P78">
        <v>197000000</v>
      </c>
      <c r="Q78">
        <v>19.399999999999999</v>
      </c>
      <c r="R78">
        <v>132000000</v>
      </c>
      <c r="S78" t="s">
        <v>667</v>
      </c>
      <c r="T78">
        <v>0</v>
      </c>
      <c r="U78">
        <v>0</v>
      </c>
      <c r="V78" t="s">
        <v>714</v>
      </c>
    </row>
    <row r="79" spans="1:22" x14ac:dyDescent="0.25">
      <c r="A79" t="s">
        <v>767</v>
      </c>
      <c r="B79" t="s">
        <v>482</v>
      </c>
      <c r="C79" t="s">
        <v>46</v>
      </c>
      <c r="D79" t="s">
        <v>670</v>
      </c>
      <c r="E79" t="str" cm="1">
        <f t="array" ref="E79">_xlfn.IFS(T79=0, "Performing", T79&lt;=30, "Watch", T79&lt;=90, "Substandard", T79&gt;90, "Non-Performing")</f>
        <v>Performing</v>
      </c>
      <c r="F79" t="s">
        <v>768</v>
      </c>
      <c r="I79" t="s">
        <v>745</v>
      </c>
      <c r="J79" s="20">
        <v>44644</v>
      </c>
      <c r="K79">
        <f t="shared" si="6"/>
        <v>40</v>
      </c>
      <c r="L79" s="22">
        <v>45872</v>
      </c>
      <c r="M79" s="28">
        <f t="shared" ca="1" si="7"/>
        <v>0</v>
      </c>
      <c r="N79">
        <v>36</v>
      </c>
      <c r="O79" s="26">
        <f t="shared" si="8"/>
        <v>45740</v>
      </c>
      <c r="P79">
        <v>995000000</v>
      </c>
      <c r="Q79">
        <v>22.9</v>
      </c>
      <c r="R79">
        <v>128000000</v>
      </c>
      <c r="S79" t="s">
        <v>692</v>
      </c>
      <c r="T79">
        <v>0</v>
      </c>
      <c r="U79">
        <v>73</v>
      </c>
      <c r="V79" t="s">
        <v>688</v>
      </c>
    </row>
    <row r="80" spans="1:22" x14ac:dyDescent="0.25">
      <c r="A80" t="s">
        <v>869</v>
      </c>
      <c r="B80" t="s">
        <v>490</v>
      </c>
      <c r="C80" t="s">
        <v>33</v>
      </c>
      <c r="D80" t="s">
        <v>701</v>
      </c>
      <c r="E80" t="str" cm="1">
        <f t="array" ref="E80">_xlfn.IFS(T80=0, "Performing", T80&lt;=30, "Watch", T80&lt;=90, "Substandard", T80&gt;90, "Non-Performing")</f>
        <v>Performing</v>
      </c>
      <c r="F80" t="s">
        <v>659</v>
      </c>
      <c r="I80" t="s">
        <v>712</v>
      </c>
      <c r="J80" s="20">
        <v>44398</v>
      </c>
      <c r="K80">
        <f t="shared" si="6"/>
        <v>11</v>
      </c>
      <c r="L80" s="22">
        <v>44758</v>
      </c>
      <c r="M80" s="28">
        <f t="shared" ca="1" si="7"/>
        <v>0</v>
      </c>
      <c r="N80">
        <v>12</v>
      </c>
      <c r="O80" s="26">
        <f t="shared" si="8"/>
        <v>44763</v>
      </c>
      <c r="P80">
        <v>347000000</v>
      </c>
      <c r="Q80">
        <v>19</v>
      </c>
      <c r="R80">
        <v>125000000</v>
      </c>
      <c r="S80" t="s">
        <v>667</v>
      </c>
      <c r="T80">
        <v>0</v>
      </c>
      <c r="U80">
        <v>0</v>
      </c>
      <c r="V80" t="s">
        <v>662</v>
      </c>
    </row>
    <row r="81" spans="1:22" x14ac:dyDescent="0.25">
      <c r="A81" t="s">
        <v>764</v>
      </c>
      <c r="B81" t="s">
        <v>543</v>
      </c>
      <c r="C81" t="s">
        <v>73</v>
      </c>
      <c r="D81" t="s">
        <v>673</v>
      </c>
      <c r="E81" t="str" cm="1">
        <f t="array" ref="E81">_xlfn.IFS(T81=0, "Performing", T81&lt;=30, "Watch", T81&lt;=90, "Substandard", T81&gt;90, "Non-Performing")</f>
        <v>Performing</v>
      </c>
      <c r="F81" t="s">
        <v>694</v>
      </c>
      <c r="I81" t="s">
        <v>683</v>
      </c>
      <c r="J81" s="20">
        <v>44615</v>
      </c>
      <c r="K81">
        <f t="shared" si="6"/>
        <v>23</v>
      </c>
      <c r="L81" s="22">
        <v>45335</v>
      </c>
      <c r="M81" s="28">
        <f t="shared" ca="1" si="7"/>
        <v>0</v>
      </c>
      <c r="N81">
        <v>24</v>
      </c>
      <c r="O81" s="26">
        <f t="shared" si="8"/>
        <v>45345</v>
      </c>
      <c r="P81">
        <v>332000000</v>
      </c>
      <c r="Q81">
        <v>19.3</v>
      </c>
      <c r="R81">
        <v>122000000</v>
      </c>
      <c r="S81" t="s">
        <v>692</v>
      </c>
      <c r="T81">
        <v>0</v>
      </c>
      <c r="U81">
        <v>50</v>
      </c>
      <c r="V81" t="s">
        <v>699</v>
      </c>
    </row>
    <row r="82" spans="1:22" x14ac:dyDescent="0.25">
      <c r="A82" t="s">
        <v>708</v>
      </c>
      <c r="B82" t="s">
        <v>340</v>
      </c>
      <c r="C82" t="s">
        <v>46</v>
      </c>
      <c r="E82" t="str" cm="1">
        <f t="array" ref="E82">_xlfn.IFS(T82=0, "Performing", T82&lt;=30, "Watch", T82&lt;=90, "Substandard", T82&gt;90, "Non-Performing")</f>
        <v>Watch</v>
      </c>
      <c r="F82" t="s">
        <v>709</v>
      </c>
      <c r="I82" t="s">
        <v>674</v>
      </c>
      <c r="J82" s="20">
        <v>44883</v>
      </c>
      <c r="K82">
        <f t="shared" si="6"/>
        <v>59</v>
      </c>
      <c r="L82" s="22">
        <v>46683</v>
      </c>
      <c r="M82" s="28">
        <f t="shared" ca="1" si="7"/>
        <v>530</v>
      </c>
      <c r="N82">
        <v>60</v>
      </c>
      <c r="O82" s="26">
        <f t="shared" si="8"/>
        <v>46709</v>
      </c>
      <c r="P82">
        <v>120000000</v>
      </c>
      <c r="Q82">
        <v>26.8</v>
      </c>
      <c r="R82">
        <v>120000000</v>
      </c>
      <c r="S82" t="s">
        <v>684</v>
      </c>
      <c r="T82">
        <v>1</v>
      </c>
      <c r="U82">
        <v>233</v>
      </c>
    </row>
    <row r="83" spans="1:22" x14ac:dyDescent="0.25">
      <c r="A83" t="s">
        <v>755</v>
      </c>
      <c r="B83" t="s">
        <v>136</v>
      </c>
      <c r="C83" t="s">
        <v>33</v>
      </c>
      <c r="D83" t="s">
        <v>690</v>
      </c>
      <c r="E83" t="str" cm="1">
        <f t="array" ref="E83">_xlfn.IFS(T83=0, "Performing", T83&lt;=30, "Watch", T83&lt;=90, "Substandard", T83&gt;90, "Non-Performing")</f>
        <v>Watch</v>
      </c>
      <c r="F83" t="s">
        <v>718</v>
      </c>
      <c r="I83" t="s">
        <v>712</v>
      </c>
      <c r="J83" s="20">
        <v>45034</v>
      </c>
      <c r="K83">
        <f t="shared" si="6"/>
        <v>19</v>
      </c>
      <c r="L83" s="22">
        <v>45630</v>
      </c>
      <c r="M83" s="28">
        <f t="shared" ca="1" si="7"/>
        <v>0</v>
      </c>
      <c r="N83">
        <v>12</v>
      </c>
      <c r="O83" s="26">
        <f t="shared" si="8"/>
        <v>45400</v>
      </c>
      <c r="P83">
        <v>119000000</v>
      </c>
      <c r="Q83">
        <v>27.9</v>
      </c>
      <c r="R83">
        <v>119000000</v>
      </c>
      <c r="S83" t="s">
        <v>684</v>
      </c>
      <c r="T83">
        <v>1</v>
      </c>
      <c r="U83">
        <v>550</v>
      </c>
      <c r="V83" t="s">
        <v>716</v>
      </c>
    </row>
    <row r="84" spans="1:22" x14ac:dyDescent="0.25">
      <c r="A84" t="s">
        <v>721</v>
      </c>
      <c r="B84" t="s">
        <v>278</v>
      </c>
      <c r="C84" t="s">
        <v>33</v>
      </c>
      <c r="D84" t="s">
        <v>722</v>
      </c>
      <c r="E84" t="str" cm="1">
        <f t="array" ref="E84">_xlfn.IFS(T84=0, "Performing", T84&lt;=30, "Watch", T84&lt;=90, "Substandard", T84&gt;90, "Non-Performing")</f>
        <v>Watch</v>
      </c>
      <c r="F84" t="s">
        <v>679</v>
      </c>
      <c r="I84" t="s">
        <v>674</v>
      </c>
      <c r="J84" s="20">
        <v>44932</v>
      </c>
      <c r="K84">
        <f t="shared" si="6"/>
        <v>40</v>
      </c>
      <c r="L84" s="22">
        <v>46158</v>
      </c>
      <c r="M84" s="28">
        <f t="shared" ca="1" si="7"/>
        <v>5</v>
      </c>
      <c r="N84">
        <v>36</v>
      </c>
      <c r="O84" s="26">
        <f t="shared" si="8"/>
        <v>46028</v>
      </c>
      <c r="P84">
        <v>329000000</v>
      </c>
      <c r="Q84">
        <v>15.4</v>
      </c>
      <c r="R84">
        <v>117000000</v>
      </c>
      <c r="S84" t="s">
        <v>661</v>
      </c>
      <c r="T84">
        <v>1</v>
      </c>
      <c r="U84">
        <v>404</v>
      </c>
      <c r="V84" t="s">
        <v>688</v>
      </c>
    </row>
    <row r="85" spans="1:22" x14ac:dyDescent="0.25">
      <c r="A85" t="s">
        <v>820</v>
      </c>
      <c r="B85" t="s">
        <v>494</v>
      </c>
      <c r="C85" t="s">
        <v>60</v>
      </c>
      <c r="D85" t="s">
        <v>678</v>
      </c>
      <c r="E85" t="str" cm="1">
        <f t="array" ref="E85">_xlfn.IFS(T85=0, "Performing", T85&lt;=30, "Watch", T85&lt;=90, "Substandard", T85&gt;90, "Non-Performing")</f>
        <v>Performing</v>
      </c>
      <c r="F85" t="s">
        <v>665</v>
      </c>
      <c r="I85" t="s">
        <v>683</v>
      </c>
      <c r="J85" s="20">
        <v>45571</v>
      </c>
      <c r="K85">
        <f t="shared" si="6"/>
        <v>55</v>
      </c>
      <c r="L85" s="22">
        <v>47253</v>
      </c>
      <c r="M85" s="28">
        <f t="shared" ca="1" si="7"/>
        <v>1100</v>
      </c>
      <c r="N85">
        <v>60</v>
      </c>
      <c r="O85" s="26">
        <f t="shared" si="8"/>
        <v>47397</v>
      </c>
      <c r="P85">
        <v>164000000</v>
      </c>
      <c r="Q85" t="s">
        <v>821</v>
      </c>
      <c r="R85">
        <v>112000000</v>
      </c>
      <c r="S85" t="s">
        <v>667</v>
      </c>
      <c r="T85">
        <v>0</v>
      </c>
      <c r="U85">
        <v>0</v>
      </c>
      <c r="V85" t="s">
        <v>668</v>
      </c>
    </row>
    <row r="86" spans="1:22" x14ac:dyDescent="0.25">
      <c r="A86" t="s">
        <v>930</v>
      </c>
      <c r="B86" t="s">
        <v>559</v>
      </c>
      <c r="C86" t="s">
        <v>39</v>
      </c>
      <c r="D86" t="s">
        <v>664</v>
      </c>
      <c r="E86" t="str" cm="1">
        <f t="array" ref="E86">_xlfn.IFS(T86=0, "Performing", T86&lt;=30, "Watch", T86&lt;=90, "Substandard", T86&gt;90, "Non-Performing")</f>
        <v>Watch</v>
      </c>
      <c r="F86" t="s">
        <v>679</v>
      </c>
      <c r="I86" t="s">
        <v>698</v>
      </c>
      <c r="J86" s="20">
        <v>45120</v>
      </c>
      <c r="K86">
        <f t="shared" si="6"/>
        <v>13</v>
      </c>
      <c r="L86" s="22">
        <v>45536</v>
      </c>
      <c r="M86" s="28">
        <f t="shared" ca="1" si="7"/>
        <v>0</v>
      </c>
      <c r="N86">
        <v>6</v>
      </c>
      <c r="O86" s="26">
        <f t="shared" si="8"/>
        <v>45304</v>
      </c>
      <c r="P86">
        <v>282000000</v>
      </c>
      <c r="Q86">
        <v>15.3</v>
      </c>
      <c r="R86">
        <v>92000000</v>
      </c>
      <c r="S86" t="s">
        <v>661</v>
      </c>
      <c r="T86">
        <v>1</v>
      </c>
      <c r="U86">
        <v>258</v>
      </c>
      <c r="V86" t="s">
        <v>662</v>
      </c>
    </row>
    <row r="87" spans="1:22" x14ac:dyDescent="0.25">
      <c r="A87" t="s">
        <v>823</v>
      </c>
      <c r="B87" t="s">
        <v>380</v>
      </c>
      <c r="C87" t="s">
        <v>67</v>
      </c>
      <c r="D87" t="s">
        <v>678</v>
      </c>
      <c r="E87" t="str" cm="1">
        <f t="array" ref="E87">_xlfn.IFS(T87=0, "Performing", T87&lt;=30, "Watch", T87&lt;=90, "Substandard", T87&gt;90, "Non-Performing")</f>
        <v>Performing</v>
      </c>
      <c r="F87" t="s">
        <v>679</v>
      </c>
      <c r="I87" t="s">
        <v>691</v>
      </c>
      <c r="J87" s="20">
        <v>44972</v>
      </c>
      <c r="K87">
        <f t="shared" si="6"/>
        <v>17</v>
      </c>
      <c r="L87" s="22">
        <v>45512</v>
      </c>
      <c r="M87" s="28">
        <f t="shared" ca="1" si="7"/>
        <v>0</v>
      </c>
      <c r="N87">
        <v>18</v>
      </c>
      <c r="O87" s="26">
        <f t="shared" si="8"/>
        <v>45519</v>
      </c>
      <c r="P87">
        <v>242000000</v>
      </c>
      <c r="Q87">
        <v>25</v>
      </c>
      <c r="R87">
        <v>88000000</v>
      </c>
      <c r="S87" t="s">
        <v>692</v>
      </c>
      <c r="T87">
        <v>0</v>
      </c>
      <c r="U87">
        <v>74</v>
      </c>
      <c r="V87" t="s">
        <v>736</v>
      </c>
    </row>
    <row r="88" spans="1:22" x14ac:dyDescent="0.25">
      <c r="A88" t="s">
        <v>796</v>
      </c>
      <c r="B88" t="s">
        <v>510</v>
      </c>
      <c r="C88" t="s">
        <v>73</v>
      </c>
      <c r="D88" t="s">
        <v>673</v>
      </c>
      <c r="E88" t="str" cm="1">
        <f t="array" ref="E88">_xlfn.IFS(T88=0, "Performing", T88&lt;=30, "Watch", T88&lt;=90, "Substandard", T88&gt;90, "Non-Performing")</f>
        <v>Watch</v>
      </c>
      <c r="F88" t="s">
        <v>659</v>
      </c>
      <c r="I88" t="s">
        <v>674</v>
      </c>
      <c r="J88" s="20">
        <v>44483</v>
      </c>
      <c r="K88">
        <f t="shared" si="6"/>
        <v>59</v>
      </c>
      <c r="L88" s="22">
        <v>46283</v>
      </c>
      <c r="M88" s="28">
        <f t="shared" ca="1" si="7"/>
        <v>130</v>
      </c>
      <c r="N88">
        <v>60</v>
      </c>
      <c r="O88" s="26">
        <f t="shared" si="8"/>
        <v>46309</v>
      </c>
      <c r="P88">
        <v>351000000</v>
      </c>
      <c r="Q88">
        <v>27.5</v>
      </c>
      <c r="R88">
        <v>84000000</v>
      </c>
      <c r="S88" t="s">
        <v>661</v>
      </c>
      <c r="T88">
        <v>1</v>
      </c>
      <c r="U88">
        <v>344</v>
      </c>
      <c r="V88" t="s">
        <v>699</v>
      </c>
    </row>
    <row r="89" spans="1:22" x14ac:dyDescent="0.25">
      <c r="A89" t="s">
        <v>836</v>
      </c>
      <c r="B89" t="s">
        <v>306</v>
      </c>
      <c r="C89" t="s">
        <v>39</v>
      </c>
      <c r="D89" t="s">
        <v>722</v>
      </c>
      <c r="E89" t="str" cm="1">
        <f t="array" ref="E89">_xlfn.IFS(T89=0, "Performing", T89&lt;=30, "Watch", T89&lt;=90, "Substandard", T89&gt;90, "Non-Performing")</f>
        <v>Performing</v>
      </c>
      <c r="F89" t="s">
        <v>718</v>
      </c>
      <c r="I89" t="s">
        <v>695</v>
      </c>
      <c r="J89" s="20">
        <v>45215</v>
      </c>
      <c r="K89">
        <f t="shared" si="6"/>
        <v>21</v>
      </c>
      <c r="L89" s="22">
        <v>45873</v>
      </c>
      <c r="M89" s="28">
        <f t="shared" ca="1" si="7"/>
        <v>0</v>
      </c>
      <c r="N89">
        <v>18</v>
      </c>
      <c r="O89" s="26">
        <f t="shared" si="8"/>
        <v>45763</v>
      </c>
      <c r="P89">
        <v>264000000</v>
      </c>
      <c r="Q89">
        <v>24.3</v>
      </c>
      <c r="R89">
        <v>83000000</v>
      </c>
      <c r="S89" t="s">
        <v>692</v>
      </c>
      <c r="T89">
        <v>0</v>
      </c>
      <c r="U89">
        <v>67</v>
      </c>
      <c r="V89" t="s">
        <v>736</v>
      </c>
    </row>
    <row r="90" spans="1:22" x14ac:dyDescent="0.25">
      <c r="A90" t="s">
        <v>748</v>
      </c>
      <c r="B90" t="s">
        <v>171</v>
      </c>
      <c r="C90" t="s">
        <v>60</v>
      </c>
      <c r="E90" t="str" cm="1">
        <f t="array" ref="E90">_xlfn.IFS(T90=0, "Performing", T90&lt;=30, "Watch", T90&lt;=90, "Substandard", T90&gt;90, "Non-Performing")</f>
        <v>Performing</v>
      </c>
      <c r="F90" t="s">
        <v>111</v>
      </c>
      <c r="I90" t="s">
        <v>695</v>
      </c>
      <c r="J90" s="20">
        <v>45309</v>
      </c>
      <c r="K90">
        <f t="shared" si="6"/>
        <v>36</v>
      </c>
      <c r="L90" s="22">
        <v>46419</v>
      </c>
      <c r="M90" s="28">
        <f t="shared" ca="1" si="7"/>
        <v>266</v>
      </c>
      <c r="N90">
        <v>36</v>
      </c>
      <c r="O90" s="26">
        <f t="shared" si="8"/>
        <v>46405</v>
      </c>
      <c r="P90">
        <v>118000000</v>
      </c>
      <c r="Q90">
        <v>17.8</v>
      </c>
      <c r="R90">
        <v>77000000</v>
      </c>
      <c r="S90" t="s">
        <v>720</v>
      </c>
      <c r="T90">
        <v>0</v>
      </c>
      <c r="U90">
        <v>0</v>
      </c>
      <c r="V90" t="s">
        <v>688</v>
      </c>
    </row>
    <row r="91" spans="1:22" x14ac:dyDescent="0.25">
      <c r="A91" t="s">
        <v>872</v>
      </c>
      <c r="B91" t="s">
        <v>353</v>
      </c>
      <c r="C91" t="s">
        <v>46</v>
      </c>
      <c r="D91" t="s">
        <v>682</v>
      </c>
      <c r="E91" t="str" cm="1">
        <f t="array" ref="E91">_xlfn.IFS(T91=0, "Performing", T91&lt;=30, "Watch", T91&lt;=90, "Substandard", T91&gt;90, "Non-Performing")</f>
        <v>Performing</v>
      </c>
      <c r="F91" t="s">
        <v>760</v>
      </c>
      <c r="I91" t="s">
        <v>727</v>
      </c>
      <c r="J91" s="20">
        <v>45207</v>
      </c>
      <c r="K91">
        <f t="shared" si="6"/>
        <v>33</v>
      </c>
      <c r="L91" s="22">
        <v>46228</v>
      </c>
      <c r="M91" s="28">
        <f t="shared" ca="1" si="7"/>
        <v>75</v>
      </c>
      <c r="N91">
        <v>36</v>
      </c>
      <c r="O91" s="26">
        <f t="shared" si="8"/>
        <v>46303</v>
      </c>
      <c r="P91">
        <v>96000000</v>
      </c>
      <c r="Q91">
        <v>21</v>
      </c>
      <c r="R91">
        <v>71000000</v>
      </c>
      <c r="S91" t="s">
        <v>667</v>
      </c>
      <c r="T91">
        <v>0</v>
      </c>
      <c r="U91">
        <v>0</v>
      </c>
      <c r="V91" t="s">
        <v>668</v>
      </c>
    </row>
    <row r="92" spans="1:22" x14ac:dyDescent="0.25">
      <c r="A92" t="s">
        <v>828</v>
      </c>
      <c r="B92" t="s">
        <v>453</v>
      </c>
      <c r="C92" t="s">
        <v>39</v>
      </c>
      <c r="D92" t="s">
        <v>670</v>
      </c>
      <c r="E92" t="str" cm="1">
        <f t="array" ref="E92">_xlfn.IFS(T92=0, "Performing", T92&lt;=30, "Watch", T92&lt;=90, "Substandard", T92&gt;90, "Non-Performing")</f>
        <v>Performing</v>
      </c>
      <c r="F92" t="s">
        <v>111</v>
      </c>
      <c r="I92" t="s">
        <v>727</v>
      </c>
      <c r="J92" s="20">
        <v>44451</v>
      </c>
      <c r="K92">
        <f t="shared" si="6"/>
        <v>7</v>
      </c>
      <c r="L92" s="22">
        <v>44663</v>
      </c>
      <c r="M92" s="28">
        <f t="shared" ca="1" si="7"/>
        <v>0</v>
      </c>
      <c r="N92">
        <v>12</v>
      </c>
      <c r="O92" s="26">
        <f t="shared" si="8"/>
        <v>44816</v>
      </c>
      <c r="P92">
        <v>114000000</v>
      </c>
      <c r="Q92">
        <v>15.1</v>
      </c>
      <c r="R92">
        <v>64000000</v>
      </c>
      <c r="S92" t="s">
        <v>667</v>
      </c>
      <c r="T92">
        <v>0</v>
      </c>
      <c r="U92">
        <v>0</v>
      </c>
      <c r="V92" t="s">
        <v>668</v>
      </c>
    </row>
    <row r="93" spans="1:22" x14ac:dyDescent="0.25">
      <c r="A93" t="s">
        <v>854</v>
      </c>
      <c r="B93" t="s">
        <v>591</v>
      </c>
      <c r="C93" t="s">
        <v>33</v>
      </c>
      <c r="D93" t="s">
        <v>690</v>
      </c>
      <c r="E93" t="str" cm="1">
        <f t="array" ref="E93">_xlfn.IFS(T93=0, "Performing", T93&lt;=30, "Watch", T93&lt;=90, "Substandard", T93&gt;90, "Non-Performing")</f>
        <v>Performing</v>
      </c>
      <c r="F93" t="s">
        <v>111</v>
      </c>
      <c r="I93" t="s">
        <v>695</v>
      </c>
      <c r="J93" s="20">
        <v>45403</v>
      </c>
      <c r="K93">
        <f t="shared" si="6"/>
        <v>37</v>
      </c>
      <c r="L93" s="22">
        <v>46542</v>
      </c>
      <c r="M93" s="28">
        <f t="shared" ca="1" si="7"/>
        <v>389</v>
      </c>
      <c r="N93">
        <v>36</v>
      </c>
      <c r="O93" s="26">
        <f t="shared" si="8"/>
        <v>46498</v>
      </c>
      <c r="P93">
        <v>535000000</v>
      </c>
      <c r="Q93">
        <v>24.3</v>
      </c>
      <c r="R93">
        <v>58000000</v>
      </c>
      <c r="S93" t="s">
        <v>692</v>
      </c>
      <c r="T93">
        <v>0</v>
      </c>
      <c r="U93">
        <v>84</v>
      </c>
      <c r="V93" t="s">
        <v>688</v>
      </c>
    </row>
    <row r="94" spans="1:22" x14ac:dyDescent="0.25">
      <c r="A94" t="s">
        <v>669</v>
      </c>
      <c r="B94" t="s">
        <v>486</v>
      </c>
      <c r="C94" t="s">
        <v>25</v>
      </c>
      <c r="D94" t="s">
        <v>670</v>
      </c>
      <c r="E94" t="str" cm="1">
        <f t="array" ref="E94">_xlfn.IFS(T94=0, "Performing", T94&lt;=30, "Watch", T94&lt;=90, "Substandard", T94&gt;90, "Non-Performing")</f>
        <v>Watch</v>
      </c>
      <c r="F94" t="s">
        <v>665</v>
      </c>
      <c r="I94" t="s">
        <v>671</v>
      </c>
      <c r="J94" s="20">
        <v>45201</v>
      </c>
      <c r="K94">
        <f t="shared" si="6"/>
        <v>15</v>
      </c>
      <c r="L94" s="22">
        <v>45687</v>
      </c>
      <c r="M94" s="28">
        <f t="shared" ca="1" si="7"/>
        <v>0</v>
      </c>
      <c r="N94">
        <v>24</v>
      </c>
      <c r="O94" s="26">
        <f t="shared" si="8"/>
        <v>45932</v>
      </c>
      <c r="P94">
        <v>224000000</v>
      </c>
      <c r="Q94">
        <v>18.399999999999999</v>
      </c>
      <c r="R94">
        <v>56000000</v>
      </c>
      <c r="S94" t="s">
        <v>661</v>
      </c>
      <c r="T94">
        <v>1</v>
      </c>
      <c r="U94">
        <v>672</v>
      </c>
      <c r="V94" t="s">
        <v>662</v>
      </c>
    </row>
    <row r="95" spans="1:22" x14ac:dyDescent="0.25">
      <c r="A95" t="s">
        <v>934</v>
      </c>
      <c r="B95" t="s">
        <v>445</v>
      </c>
      <c r="C95" t="s">
        <v>39</v>
      </c>
      <c r="D95" t="s">
        <v>690</v>
      </c>
      <c r="E95" t="str" cm="1">
        <f t="array" ref="E95">_xlfn.IFS(T95=0, "Performing", T95&lt;=30, "Watch", T95&lt;=90, "Substandard", T95&gt;90, "Non-Performing")</f>
        <v>Performing</v>
      </c>
      <c r="F95" t="s">
        <v>694</v>
      </c>
      <c r="I95" t="s">
        <v>698</v>
      </c>
      <c r="J95" s="20">
        <v>44270</v>
      </c>
      <c r="K95">
        <f t="shared" si="6"/>
        <v>7</v>
      </c>
      <c r="L95" s="22">
        <v>44509</v>
      </c>
      <c r="M95" s="28">
        <f t="shared" ca="1" si="7"/>
        <v>0</v>
      </c>
      <c r="N95">
        <v>6</v>
      </c>
      <c r="O95" s="26">
        <f t="shared" si="8"/>
        <v>44454</v>
      </c>
      <c r="P95">
        <v>203000000</v>
      </c>
      <c r="Q95">
        <v>26.6</v>
      </c>
      <c r="R95">
        <v>54000000</v>
      </c>
      <c r="S95" t="s">
        <v>720</v>
      </c>
      <c r="T95">
        <v>0</v>
      </c>
      <c r="U95">
        <v>0</v>
      </c>
      <c r="V95" t="s">
        <v>714</v>
      </c>
    </row>
    <row r="96" spans="1:22" x14ac:dyDescent="0.25">
      <c r="A96" t="s">
        <v>875</v>
      </c>
      <c r="B96" t="s">
        <v>216</v>
      </c>
      <c r="C96" t="s">
        <v>46</v>
      </c>
      <c r="D96" t="s">
        <v>670</v>
      </c>
      <c r="E96" t="str" cm="1">
        <f t="array" ref="E96">_xlfn.IFS(T96=0, "Performing", T96&lt;=30, "Watch", T96&lt;=90, "Substandard", T96&gt;90, "Non-Performing")</f>
        <v>Performing</v>
      </c>
      <c r="F96" t="s">
        <v>665</v>
      </c>
      <c r="I96" t="s">
        <v>695</v>
      </c>
      <c r="J96" s="20">
        <v>44772</v>
      </c>
      <c r="K96">
        <f t="shared" si="6"/>
        <v>11</v>
      </c>
      <c r="L96" s="22">
        <v>45132</v>
      </c>
      <c r="M96" s="28">
        <f t="shared" ca="1" si="7"/>
        <v>0</v>
      </c>
      <c r="N96">
        <v>12</v>
      </c>
      <c r="O96" s="26">
        <f t="shared" si="8"/>
        <v>45137</v>
      </c>
      <c r="P96">
        <v>145000000</v>
      </c>
      <c r="Q96">
        <v>22.4</v>
      </c>
      <c r="R96">
        <v>51000000</v>
      </c>
      <c r="S96" t="s">
        <v>720</v>
      </c>
      <c r="T96">
        <v>0</v>
      </c>
      <c r="U96">
        <v>0</v>
      </c>
      <c r="V96" t="s">
        <v>716</v>
      </c>
    </row>
    <row r="97" spans="1:22" x14ac:dyDescent="0.25">
      <c r="A97" t="s">
        <v>879</v>
      </c>
      <c r="B97" t="s">
        <v>222</v>
      </c>
      <c r="C97" t="s">
        <v>73</v>
      </c>
      <c r="D97" t="s">
        <v>682</v>
      </c>
      <c r="E97" t="str" cm="1">
        <f t="array" ref="E97">_xlfn.IFS(T97=0, "Performing", T97&lt;=30, "Watch", T97&lt;=90, "Substandard", T97&gt;90, "Non-Performing")</f>
        <v>Performing</v>
      </c>
      <c r="F97" t="s">
        <v>694</v>
      </c>
      <c r="I97" t="s">
        <v>745</v>
      </c>
      <c r="J97" s="20">
        <v>45285</v>
      </c>
      <c r="K97">
        <f t="shared" si="6"/>
        <v>35</v>
      </c>
      <c r="L97" s="22">
        <v>46365</v>
      </c>
      <c r="M97" s="28">
        <f t="shared" ca="1" si="7"/>
        <v>212</v>
      </c>
      <c r="N97">
        <v>36</v>
      </c>
      <c r="O97" s="26">
        <f t="shared" si="8"/>
        <v>46381</v>
      </c>
      <c r="P97">
        <v>110000000</v>
      </c>
      <c r="Q97">
        <v>23.2</v>
      </c>
      <c r="R97">
        <v>51000000</v>
      </c>
      <c r="S97" t="s">
        <v>692</v>
      </c>
      <c r="T97">
        <v>0</v>
      </c>
      <c r="U97">
        <v>31</v>
      </c>
    </row>
    <row r="98" spans="1:22" x14ac:dyDescent="0.25">
      <c r="A98" t="s">
        <v>811</v>
      </c>
      <c r="B98" t="s">
        <v>384</v>
      </c>
      <c r="C98" t="s">
        <v>53</v>
      </c>
      <c r="D98" t="s">
        <v>673</v>
      </c>
      <c r="E98" t="str" cm="1">
        <f t="array" ref="E98">_xlfn.IFS(T98=0, "Performing", T98&lt;=30, "Watch", T98&lt;=90, "Substandard", T98&gt;90, "Non-Performing")</f>
        <v>Watch</v>
      </c>
      <c r="F98" t="s">
        <v>659</v>
      </c>
      <c r="I98" t="s">
        <v>671</v>
      </c>
      <c r="J98" s="20">
        <v>44475</v>
      </c>
      <c r="K98">
        <f t="shared" ref="K98:K129" si="9">IF(J98 &gt; L98, 0, DATEDIF(J98, L98, "m"))</f>
        <v>60</v>
      </c>
      <c r="L98" s="22">
        <v>46304</v>
      </c>
      <c r="M98" s="28">
        <f t="shared" ref="M98:M129" ca="1" si="10">MAX(0, L98 - TODAY())</f>
        <v>151</v>
      </c>
      <c r="N98">
        <v>60</v>
      </c>
      <c r="O98" s="26">
        <f t="shared" ref="O98:O129" si="11">EDATE(J98, N98)</f>
        <v>46301</v>
      </c>
      <c r="P98">
        <v>50000000</v>
      </c>
      <c r="Q98">
        <v>15.5</v>
      </c>
      <c r="R98">
        <v>50000000</v>
      </c>
      <c r="S98" t="s">
        <v>684</v>
      </c>
      <c r="T98">
        <v>1</v>
      </c>
      <c r="U98">
        <v>568</v>
      </c>
      <c r="V98" t="s">
        <v>702</v>
      </c>
    </row>
    <row r="99" spans="1:22" x14ac:dyDescent="0.25">
      <c r="A99" t="s">
        <v>743</v>
      </c>
      <c r="B99" t="s">
        <v>619</v>
      </c>
      <c r="C99" t="s">
        <v>67</v>
      </c>
      <c r="D99" t="s">
        <v>686</v>
      </c>
      <c r="E99" t="str" cm="1">
        <f t="array" ref="E99">_xlfn.IFS(T99=0, "Performing", T99&lt;=30, "Watch", T99&lt;=90, "Substandard", T99&gt;90, "Non-Performing")</f>
        <v>Performing</v>
      </c>
      <c r="F99" t="s">
        <v>687</v>
      </c>
      <c r="I99" t="s">
        <v>712</v>
      </c>
      <c r="J99" s="20">
        <v>44283</v>
      </c>
      <c r="K99">
        <f t="shared" si="9"/>
        <v>17</v>
      </c>
      <c r="L99" s="22">
        <v>44823</v>
      </c>
      <c r="M99" s="28">
        <f t="shared" ca="1" si="10"/>
        <v>0</v>
      </c>
      <c r="N99">
        <v>18</v>
      </c>
      <c r="O99" s="26">
        <f t="shared" si="11"/>
        <v>44832</v>
      </c>
      <c r="P99">
        <v>90000000</v>
      </c>
      <c r="Q99">
        <v>23.2</v>
      </c>
      <c r="R99">
        <v>47000000</v>
      </c>
      <c r="S99" t="s">
        <v>667</v>
      </c>
      <c r="T99">
        <v>0</v>
      </c>
      <c r="U99">
        <v>0</v>
      </c>
      <c r="V99" t="s">
        <v>736</v>
      </c>
    </row>
    <row r="100" spans="1:22" x14ac:dyDescent="0.25">
      <c r="A100" t="s">
        <v>805</v>
      </c>
      <c r="B100" t="s">
        <v>397</v>
      </c>
      <c r="C100" t="s">
        <v>60</v>
      </c>
      <c r="D100" t="s">
        <v>664</v>
      </c>
      <c r="E100" t="str" cm="1">
        <f t="array" ref="E100">_xlfn.IFS(T100=0, "Performing", T100&lt;=30, "Watch", T100&lt;=90, "Substandard", T100&gt;90, "Non-Performing")</f>
        <v>Watch</v>
      </c>
      <c r="F100" t="s">
        <v>687</v>
      </c>
      <c r="I100" t="s">
        <v>727</v>
      </c>
      <c r="J100" s="20">
        <v>44269</v>
      </c>
      <c r="K100">
        <f t="shared" si="9"/>
        <v>35</v>
      </c>
      <c r="L100" s="22">
        <v>45349</v>
      </c>
      <c r="M100" s="28">
        <f t="shared" ca="1" si="10"/>
        <v>0</v>
      </c>
      <c r="N100">
        <v>36</v>
      </c>
      <c r="O100" s="26">
        <f t="shared" si="11"/>
        <v>45365</v>
      </c>
      <c r="P100">
        <v>46000000</v>
      </c>
      <c r="Q100">
        <v>18.5</v>
      </c>
      <c r="R100">
        <v>46000000</v>
      </c>
      <c r="S100" t="s">
        <v>684</v>
      </c>
      <c r="T100">
        <v>1</v>
      </c>
      <c r="U100">
        <v>418</v>
      </c>
      <c r="V100" t="s">
        <v>699</v>
      </c>
    </row>
    <row r="101" spans="1:22" x14ac:dyDescent="0.25">
      <c r="A101" t="s">
        <v>826</v>
      </c>
      <c r="B101" t="s">
        <v>563</v>
      </c>
      <c r="C101" t="s">
        <v>67</v>
      </c>
      <c r="D101" t="s">
        <v>690</v>
      </c>
      <c r="E101" t="str" cm="1">
        <f t="array" ref="E101">_xlfn.IFS(T101=0, "Performing", T101&lt;=30, "Watch", T101&lt;=90, "Substandard", T101&gt;90, "Non-Performing")</f>
        <v>Watch</v>
      </c>
      <c r="F101" t="s">
        <v>111</v>
      </c>
      <c r="I101" t="s">
        <v>695</v>
      </c>
      <c r="J101" s="20">
        <v>44739</v>
      </c>
      <c r="K101">
        <f t="shared" si="9"/>
        <v>5</v>
      </c>
      <c r="L101" s="22">
        <v>44919</v>
      </c>
      <c r="M101" s="28">
        <f t="shared" ca="1" si="10"/>
        <v>0</v>
      </c>
      <c r="N101">
        <v>6</v>
      </c>
      <c r="O101" s="26">
        <f t="shared" si="11"/>
        <v>44922</v>
      </c>
      <c r="P101">
        <v>42000000</v>
      </c>
      <c r="Q101">
        <v>19.2</v>
      </c>
      <c r="R101">
        <v>42000000</v>
      </c>
      <c r="S101" t="s">
        <v>684</v>
      </c>
      <c r="T101">
        <v>1</v>
      </c>
      <c r="U101">
        <v>469</v>
      </c>
      <c r="V101" t="s">
        <v>668</v>
      </c>
    </row>
    <row r="102" spans="1:22" x14ac:dyDescent="0.25">
      <c r="A102" t="s">
        <v>693</v>
      </c>
      <c r="B102" t="s">
        <v>392</v>
      </c>
      <c r="C102" t="s">
        <v>25</v>
      </c>
      <c r="D102" t="s">
        <v>690</v>
      </c>
      <c r="E102" t="str" cm="1">
        <f t="array" ref="E102">_xlfn.IFS(T102=0, "Performing", T102&lt;=30, "Watch", T102&lt;=90, "Substandard", T102&gt;90, "Non-Performing")</f>
        <v>Watch</v>
      </c>
      <c r="F102" t="s">
        <v>694</v>
      </c>
      <c r="I102" t="s">
        <v>695</v>
      </c>
      <c r="J102" s="20">
        <v>44582</v>
      </c>
      <c r="K102">
        <f t="shared" si="9"/>
        <v>17</v>
      </c>
      <c r="L102" s="22">
        <v>45122</v>
      </c>
      <c r="M102" s="28">
        <f t="shared" ca="1" si="10"/>
        <v>0</v>
      </c>
      <c r="N102">
        <v>18</v>
      </c>
      <c r="O102" s="26">
        <f t="shared" si="11"/>
        <v>45128</v>
      </c>
      <c r="P102">
        <v>39000000</v>
      </c>
      <c r="Q102">
        <v>27.4</v>
      </c>
      <c r="R102">
        <v>39000000</v>
      </c>
      <c r="S102" t="s">
        <v>684</v>
      </c>
      <c r="T102">
        <v>1</v>
      </c>
      <c r="U102">
        <v>196</v>
      </c>
    </row>
    <row r="103" spans="1:22" x14ac:dyDescent="0.25">
      <c r="A103" t="s">
        <v>871</v>
      </c>
      <c r="B103" t="s">
        <v>154</v>
      </c>
      <c r="C103" t="s">
        <v>53</v>
      </c>
      <c r="D103" t="s">
        <v>678</v>
      </c>
      <c r="E103" t="str" cm="1">
        <f t="array" ref="E103">_xlfn.IFS(T103=0, "Performing", T103&lt;=30, "Watch", T103&lt;=90, "Substandard", T103&gt;90, "Non-Performing")</f>
        <v>Performing</v>
      </c>
      <c r="F103" t="s">
        <v>665</v>
      </c>
      <c r="I103" t="s">
        <v>671</v>
      </c>
      <c r="J103" s="20">
        <v>44736</v>
      </c>
      <c r="K103">
        <f t="shared" si="9"/>
        <v>44</v>
      </c>
      <c r="L103" s="22">
        <v>46087</v>
      </c>
      <c r="M103" s="28">
        <f t="shared" ca="1" si="10"/>
        <v>0</v>
      </c>
      <c r="N103">
        <v>48</v>
      </c>
      <c r="O103" s="26">
        <f t="shared" si="11"/>
        <v>46197</v>
      </c>
      <c r="P103">
        <v>41000000</v>
      </c>
      <c r="Q103">
        <v>25.9</v>
      </c>
      <c r="R103">
        <v>38000000</v>
      </c>
      <c r="S103" t="s">
        <v>667</v>
      </c>
      <c r="T103">
        <v>0</v>
      </c>
      <c r="U103">
        <v>0</v>
      </c>
      <c r="V103" t="s">
        <v>716</v>
      </c>
    </row>
    <row r="104" spans="1:22" x14ac:dyDescent="0.25">
      <c r="A104" t="s">
        <v>816</v>
      </c>
      <c r="B104" t="s">
        <v>248</v>
      </c>
      <c r="C104" t="s">
        <v>25</v>
      </c>
      <c r="D104" t="s">
        <v>701</v>
      </c>
      <c r="E104" t="str" cm="1">
        <f t="array" ref="E104">_xlfn.IFS(T104=0, "Performing", T104&lt;=30, "Watch", T104&lt;=90, "Substandard", T104&gt;90, "Non-Performing")</f>
        <v>Performing</v>
      </c>
      <c r="F104" t="s">
        <v>718</v>
      </c>
      <c r="I104" t="s">
        <v>691</v>
      </c>
      <c r="J104" s="20">
        <v>45281</v>
      </c>
      <c r="K104">
        <f t="shared" si="9"/>
        <v>17</v>
      </c>
      <c r="L104" s="22">
        <v>45821</v>
      </c>
      <c r="M104" s="28">
        <f t="shared" ca="1" si="10"/>
        <v>0</v>
      </c>
      <c r="N104">
        <v>18</v>
      </c>
      <c r="O104" s="26">
        <f t="shared" si="11"/>
        <v>45829</v>
      </c>
      <c r="P104">
        <v>50000000</v>
      </c>
      <c r="Q104">
        <v>15.4</v>
      </c>
      <c r="R104">
        <v>37000000</v>
      </c>
      <c r="S104" t="s">
        <v>667</v>
      </c>
      <c r="T104">
        <v>0</v>
      </c>
      <c r="U104">
        <v>0</v>
      </c>
      <c r="V104" t="s">
        <v>714</v>
      </c>
    </row>
    <row r="105" spans="1:22" x14ac:dyDescent="0.25">
      <c r="A105" t="s">
        <v>769</v>
      </c>
      <c r="B105" t="s">
        <v>579</v>
      </c>
      <c r="C105" t="s">
        <v>67</v>
      </c>
      <c r="D105" t="s">
        <v>678</v>
      </c>
      <c r="E105" t="str" cm="1">
        <f t="array" ref="E105">_xlfn.IFS(T105=0, "Performing", T105&lt;=30, "Watch", T105&lt;=90, "Substandard", T105&gt;90, "Non-Performing")</f>
        <v>Watch</v>
      </c>
      <c r="F105" t="s">
        <v>659</v>
      </c>
      <c r="I105" t="s">
        <v>674</v>
      </c>
      <c r="J105" s="20">
        <v>45270</v>
      </c>
      <c r="K105">
        <f t="shared" si="9"/>
        <v>11</v>
      </c>
      <c r="L105" s="22">
        <v>45630</v>
      </c>
      <c r="M105" s="28">
        <f t="shared" ca="1" si="10"/>
        <v>0</v>
      </c>
      <c r="N105">
        <v>12</v>
      </c>
      <c r="O105" s="26">
        <f t="shared" si="11"/>
        <v>45636</v>
      </c>
      <c r="P105">
        <v>148000000</v>
      </c>
      <c r="Q105">
        <v>25.4</v>
      </c>
      <c r="R105">
        <v>35000000</v>
      </c>
      <c r="S105" t="s">
        <v>661</v>
      </c>
      <c r="T105">
        <v>1</v>
      </c>
      <c r="U105">
        <v>171</v>
      </c>
      <c r="V105" t="s">
        <v>702</v>
      </c>
    </row>
    <row r="106" spans="1:22" x14ac:dyDescent="0.25">
      <c r="A106" t="s">
        <v>794</v>
      </c>
      <c r="B106" t="s">
        <v>216</v>
      </c>
      <c r="C106" t="s">
        <v>25</v>
      </c>
      <c r="E106" t="str" cm="1">
        <f t="array" ref="E106">_xlfn.IFS(T106=0, "Performing", T106&lt;=30, "Watch", T106&lt;=90, "Substandard", T106&gt;90, "Non-Performing")</f>
        <v>Performing</v>
      </c>
      <c r="F106" t="s">
        <v>760</v>
      </c>
      <c r="I106" t="s">
        <v>683</v>
      </c>
      <c r="J106" s="20">
        <v>44676</v>
      </c>
      <c r="K106">
        <f t="shared" si="9"/>
        <v>23</v>
      </c>
      <c r="L106" s="22">
        <v>45396</v>
      </c>
      <c r="M106" s="28">
        <f t="shared" ca="1" si="10"/>
        <v>0</v>
      </c>
      <c r="N106">
        <v>24</v>
      </c>
      <c r="O106" s="26">
        <f t="shared" si="11"/>
        <v>45407</v>
      </c>
      <c r="P106">
        <v>42000000</v>
      </c>
      <c r="Q106">
        <v>17</v>
      </c>
      <c r="R106">
        <v>35000000</v>
      </c>
      <c r="S106" t="s">
        <v>720</v>
      </c>
      <c r="T106">
        <v>0</v>
      </c>
      <c r="U106">
        <v>0</v>
      </c>
      <c r="V106" t="s">
        <v>736</v>
      </c>
    </row>
    <row r="107" spans="1:22" x14ac:dyDescent="0.25">
      <c r="A107" t="s">
        <v>842</v>
      </c>
      <c r="B107" t="s">
        <v>555</v>
      </c>
      <c r="C107" t="s">
        <v>25</v>
      </c>
      <c r="D107" t="s">
        <v>682</v>
      </c>
      <c r="E107" t="str" cm="1">
        <f t="array" ref="E107">_xlfn.IFS(T107=0, "Performing", T107&lt;=30, "Watch", T107&lt;=90, "Substandard", T107&gt;90, "Non-Performing")</f>
        <v>Performing</v>
      </c>
      <c r="F107" t="s">
        <v>718</v>
      </c>
      <c r="I107" t="s">
        <v>695</v>
      </c>
      <c r="J107" s="20">
        <v>44477</v>
      </c>
      <c r="K107">
        <f t="shared" si="9"/>
        <v>45</v>
      </c>
      <c r="L107" s="22">
        <v>45858</v>
      </c>
      <c r="M107" s="28">
        <f t="shared" ca="1" si="10"/>
        <v>0</v>
      </c>
      <c r="N107">
        <v>48</v>
      </c>
      <c r="O107" s="26">
        <f t="shared" si="11"/>
        <v>45938</v>
      </c>
      <c r="P107">
        <v>74000000</v>
      </c>
      <c r="Q107">
        <v>20.2</v>
      </c>
      <c r="R107">
        <v>34000000</v>
      </c>
      <c r="S107" t="s">
        <v>720</v>
      </c>
      <c r="T107">
        <v>0</v>
      </c>
      <c r="U107">
        <v>0</v>
      </c>
      <c r="V107" t="s">
        <v>688</v>
      </c>
    </row>
    <row r="108" spans="1:22" x14ac:dyDescent="0.25">
      <c r="A108" t="s">
        <v>677</v>
      </c>
      <c r="B108" t="s">
        <v>376</v>
      </c>
      <c r="C108" t="s">
        <v>39</v>
      </c>
      <c r="D108" t="s">
        <v>678</v>
      </c>
      <c r="E108" t="str" cm="1">
        <f t="array" ref="E108">_xlfn.IFS(T108=0, "Performing", T108&lt;=30, "Watch", T108&lt;=90, "Substandard", T108&gt;90, "Non-Performing")</f>
        <v>Performing</v>
      </c>
      <c r="F108" t="s">
        <v>679</v>
      </c>
      <c r="I108" t="s">
        <v>680</v>
      </c>
      <c r="J108" s="20">
        <v>44668</v>
      </c>
      <c r="K108">
        <f t="shared" si="9"/>
        <v>32</v>
      </c>
      <c r="L108" s="22">
        <v>45661</v>
      </c>
      <c r="M108" s="28">
        <f t="shared" ca="1" si="10"/>
        <v>0</v>
      </c>
      <c r="N108">
        <v>36</v>
      </c>
      <c r="O108" s="26">
        <f t="shared" si="11"/>
        <v>45764</v>
      </c>
      <c r="P108">
        <v>36000000</v>
      </c>
      <c r="Q108">
        <v>19.600000000000001</v>
      </c>
      <c r="R108">
        <v>33000000</v>
      </c>
      <c r="S108" t="s">
        <v>667</v>
      </c>
      <c r="T108">
        <v>0</v>
      </c>
      <c r="U108">
        <v>0</v>
      </c>
      <c r="V108" t="s">
        <v>676</v>
      </c>
    </row>
    <row r="109" spans="1:22" x14ac:dyDescent="0.25">
      <c r="A109" t="s">
        <v>844</v>
      </c>
      <c r="B109" t="s">
        <v>315</v>
      </c>
      <c r="C109" t="s">
        <v>46</v>
      </c>
      <c r="D109" t="s">
        <v>752</v>
      </c>
      <c r="E109" t="str" cm="1">
        <f t="array" ref="E109">_xlfn.IFS(T109=0, "Performing", T109&lt;=30, "Watch", T109&lt;=90, "Substandard", T109&gt;90, "Non-Performing")</f>
        <v>Performing</v>
      </c>
      <c r="F109" t="s">
        <v>718</v>
      </c>
      <c r="I109" t="s">
        <v>695</v>
      </c>
      <c r="J109" s="20">
        <v>44234</v>
      </c>
      <c r="K109">
        <f t="shared" si="9"/>
        <v>10</v>
      </c>
      <c r="L109" s="22">
        <v>44559</v>
      </c>
      <c r="M109" s="28">
        <f t="shared" ca="1" si="10"/>
        <v>0</v>
      </c>
      <c r="N109">
        <v>6</v>
      </c>
      <c r="O109" s="26">
        <f t="shared" si="11"/>
        <v>44415</v>
      </c>
      <c r="P109">
        <v>37000000</v>
      </c>
      <c r="Q109" t="s">
        <v>818</v>
      </c>
      <c r="R109">
        <v>33000000</v>
      </c>
      <c r="S109" t="s">
        <v>692</v>
      </c>
      <c r="T109">
        <v>0</v>
      </c>
      <c r="U109">
        <v>77</v>
      </c>
      <c r="V109" t="s">
        <v>662</v>
      </c>
    </row>
    <row r="110" spans="1:22" x14ac:dyDescent="0.25">
      <c r="A110" t="s">
        <v>775</v>
      </c>
      <c r="B110" t="s">
        <v>216</v>
      </c>
      <c r="C110" t="s">
        <v>67</v>
      </c>
      <c r="D110" t="s">
        <v>678</v>
      </c>
      <c r="E110" t="str" cm="1">
        <f t="array" ref="E110">_xlfn.IFS(T110=0, "Performing", T110&lt;=30, "Watch", T110&lt;=90, "Substandard", T110&gt;90, "Non-Performing")</f>
        <v>Watch</v>
      </c>
      <c r="F110" t="s">
        <v>687</v>
      </c>
      <c r="I110" t="s">
        <v>712</v>
      </c>
      <c r="J110" s="20">
        <v>44813</v>
      </c>
      <c r="K110">
        <f t="shared" si="9"/>
        <v>16</v>
      </c>
      <c r="L110" s="22">
        <v>45325</v>
      </c>
      <c r="M110" s="28">
        <f t="shared" ca="1" si="10"/>
        <v>0</v>
      </c>
      <c r="N110">
        <v>18</v>
      </c>
      <c r="O110" s="26">
        <f t="shared" si="11"/>
        <v>45360</v>
      </c>
      <c r="P110">
        <v>32000000</v>
      </c>
      <c r="Q110">
        <v>20.100000000000001</v>
      </c>
      <c r="R110">
        <v>32000000</v>
      </c>
      <c r="S110" t="s">
        <v>684</v>
      </c>
      <c r="T110">
        <v>1</v>
      </c>
      <c r="U110">
        <v>397</v>
      </c>
      <c r="V110" t="s">
        <v>688</v>
      </c>
    </row>
    <row r="111" spans="1:22" x14ac:dyDescent="0.25">
      <c r="A111" t="s">
        <v>705</v>
      </c>
      <c r="B111" t="s">
        <v>543</v>
      </c>
      <c r="C111" t="s">
        <v>73</v>
      </c>
      <c r="D111" t="s">
        <v>673</v>
      </c>
      <c r="E111" t="str" cm="1">
        <f t="array" ref="E111">_xlfn.IFS(T111=0, "Performing", T111&lt;=30, "Watch", T111&lt;=90, "Substandard", T111&gt;90, "Non-Performing")</f>
        <v>Performing</v>
      </c>
      <c r="F111" t="s">
        <v>665</v>
      </c>
      <c r="I111" t="s">
        <v>671</v>
      </c>
      <c r="J111" s="20">
        <v>44830</v>
      </c>
      <c r="K111">
        <f t="shared" si="9"/>
        <v>59</v>
      </c>
      <c r="L111" s="22">
        <v>46630</v>
      </c>
      <c r="M111" s="28">
        <f t="shared" ca="1" si="10"/>
        <v>477</v>
      </c>
      <c r="N111">
        <v>60</v>
      </c>
      <c r="O111" s="26">
        <f t="shared" si="11"/>
        <v>46656</v>
      </c>
      <c r="P111">
        <v>477000000</v>
      </c>
      <c r="Q111">
        <v>23.5</v>
      </c>
      <c r="R111">
        <v>31000000</v>
      </c>
      <c r="S111" t="s">
        <v>692</v>
      </c>
      <c r="T111">
        <v>0</v>
      </c>
      <c r="U111">
        <v>60</v>
      </c>
      <c r="V111" t="s">
        <v>699</v>
      </c>
    </row>
    <row r="112" spans="1:22" x14ac:dyDescent="0.25">
      <c r="A112" t="s">
        <v>792</v>
      </c>
      <c r="B112" t="s">
        <v>388</v>
      </c>
      <c r="C112" t="s">
        <v>73</v>
      </c>
      <c r="D112" t="s">
        <v>686</v>
      </c>
      <c r="E112" t="str" cm="1">
        <f t="array" ref="E112">_xlfn.IFS(T112=0, "Performing", T112&lt;=30, "Watch", T112&lt;=90, "Substandard", T112&gt;90, "Non-Performing")</f>
        <v>Watch</v>
      </c>
      <c r="F112" t="s">
        <v>694</v>
      </c>
      <c r="I112" t="s">
        <v>745</v>
      </c>
      <c r="J112" s="20">
        <v>44476</v>
      </c>
      <c r="K112">
        <f t="shared" si="9"/>
        <v>44</v>
      </c>
      <c r="L112" s="22">
        <v>45827</v>
      </c>
      <c r="M112" s="28">
        <f t="shared" ca="1" si="10"/>
        <v>0</v>
      </c>
      <c r="N112">
        <v>48</v>
      </c>
      <c r="O112" s="26">
        <f t="shared" si="11"/>
        <v>45937</v>
      </c>
      <c r="P112">
        <v>30000000</v>
      </c>
      <c r="Q112">
        <v>25.1</v>
      </c>
      <c r="R112">
        <v>30000000</v>
      </c>
      <c r="S112" t="s">
        <v>684</v>
      </c>
      <c r="T112">
        <v>1</v>
      </c>
      <c r="U112">
        <v>314</v>
      </c>
      <c r="V112" t="s">
        <v>716</v>
      </c>
    </row>
    <row r="113" spans="1:22" x14ac:dyDescent="0.25">
      <c r="A113" t="s">
        <v>911</v>
      </c>
      <c r="B113" t="s">
        <v>306</v>
      </c>
      <c r="C113" t="s">
        <v>25</v>
      </c>
      <c r="D113" t="s">
        <v>722</v>
      </c>
      <c r="E113" t="str" cm="1">
        <f t="array" ref="E113">_xlfn.IFS(T113=0, "Performing", T113&lt;=30, "Watch", T113&lt;=90, "Substandard", T113&gt;90, "Non-Performing")</f>
        <v>Watch</v>
      </c>
      <c r="F113" t="s">
        <v>760</v>
      </c>
      <c r="I113" t="s">
        <v>680</v>
      </c>
      <c r="J113" s="20">
        <v>45244</v>
      </c>
      <c r="K113">
        <f t="shared" si="9"/>
        <v>35</v>
      </c>
      <c r="L113" s="22">
        <v>46324</v>
      </c>
      <c r="M113" s="28">
        <f t="shared" ca="1" si="10"/>
        <v>171</v>
      </c>
      <c r="N113">
        <v>36</v>
      </c>
      <c r="O113" s="26">
        <f t="shared" si="11"/>
        <v>46340</v>
      </c>
      <c r="P113">
        <v>37000000</v>
      </c>
      <c r="Q113">
        <v>14.5</v>
      </c>
      <c r="R113">
        <v>30000000</v>
      </c>
      <c r="S113" t="s">
        <v>661</v>
      </c>
      <c r="T113">
        <v>1</v>
      </c>
      <c r="U113">
        <v>362</v>
      </c>
      <c r="V113" t="s">
        <v>702</v>
      </c>
    </row>
    <row r="114" spans="1:22" x14ac:dyDescent="0.25">
      <c r="A114" t="s">
        <v>734</v>
      </c>
      <c r="B114" t="s">
        <v>579</v>
      </c>
      <c r="C114" t="s">
        <v>60</v>
      </c>
      <c r="D114" t="s">
        <v>682</v>
      </c>
      <c r="E114" t="str" cm="1">
        <f t="array" ref="E114">_xlfn.IFS(T114=0, "Performing", T114&lt;=30, "Watch", T114&lt;=90, "Substandard", T114&gt;90, "Non-Performing")</f>
        <v>Performing</v>
      </c>
      <c r="F114" t="s">
        <v>709</v>
      </c>
      <c r="I114" t="s">
        <v>671</v>
      </c>
      <c r="J114" s="20">
        <v>44523</v>
      </c>
      <c r="K114">
        <f t="shared" si="9"/>
        <v>23</v>
      </c>
      <c r="L114" s="22">
        <v>45243</v>
      </c>
      <c r="M114" s="28">
        <f t="shared" ca="1" si="10"/>
        <v>0</v>
      </c>
      <c r="N114">
        <v>24</v>
      </c>
      <c r="O114" s="26">
        <f t="shared" si="11"/>
        <v>45253</v>
      </c>
      <c r="P114">
        <v>289000000</v>
      </c>
      <c r="Q114">
        <v>21</v>
      </c>
      <c r="R114">
        <v>29000000</v>
      </c>
      <c r="S114" t="s">
        <v>720</v>
      </c>
      <c r="T114">
        <v>0</v>
      </c>
      <c r="U114">
        <v>0</v>
      </c>
      <c r="V114" t="s">
        <v>714</v>
      </c>
    </row>
    <row r="115" spans="1:22" x14ac:dyDescent="0.25">
      <c r="A115" t="s">
        <v>840</v>
      </c>
      <c r="B115" t="s">
        <v>535</v>
      </c>
      <c r="C115" t="s">
        <v>60</v>
      </c>
      <c r="D115" t="s">
        <v>752</v>
      </c>
      <c r="E115" t="str" cm="1">
        <f t="array" ref="E115">_xlfn.IFS(T115=0, "Performing", T115&lt;=30, "Watch", T115&lt;=90, "Substandard", T115&gt;90, "Non-Performing")</f>
        <v>Watch</v>
      </c>
      <c r="F115" t="s">
        <v>709</v>
      </c>
      <c r="I115" t="s">
        <v>680</v>
      </c>
      <c r="J115" s="20">
        <v>44587</v>
      </c>
      <c r="K115">
        <f t="shared" si="9"/>
        <v>5</v>
      </c>
      <c r="L115" s="22">
        <v>44767</v>
      </c>
      <c r="M115" s="28">
        <f t="shared" ca="1" si="10"/>
        <v>0</v>
      </c>
      <c r="N115">
        <v>6</v>
      </c>
      <c r="O115" s="26">
        <f t="shared" si="11"/>
        <v>44768</v>
      </c>
      <c r="P115">
        <v>44000000</v>
      </c>
      <c r="Q115">
        <v>23.7</v>
      </c>
      <c r="R115">
        <v>29000000</v>
      </c>
      <c r="S115" t="s">
        <v>661</v>
      </c>
      <c r="T115">
        <v>1</v>
      </c>
      <c r="U115">
        <v>196</v>
      </c>
    </row>
    <row r="116" spans="1:22" x14ac:dyDescent="0.25">
      <c r="A116" t="s">
        <v>681</v>
      </c>
      <c r="B116" t="s">
        <v>310</v>
      </c>
      <c r="C116" t="s">
        <v>39</v>
      </c>
      <c r="D116" t="s">
        <v>682</v>
      </c>
      <c r="E116" t="str" cm="1">
        <f t="array" ref="E116">_xlfn.IFS(T116=0, "Performing", T116&lt;=30, "Watch", T116&lt;=90, "Substandard", T116&gt;90, "Non-Performing")</f>
        <v>Watch</v>
      </c>
      <c r="F116" t="s">
        <v>111</v>
      </c>
      <c r="I116" t="s">
        <v>683</v>
      </c>
      <c r="J116" s="20">
        <v>44938</v>
      </c>
      <c r="K116">
        <f t="shared" si="9"/>
        <v>9</v>
      </c>
      <c r="L116" s="22">
        <v>45237</v>
      </c>
      <c r="M116" s="28">
        <f t="shared" ca="1" si="10"/>
        <v>0</v>
      </c>
      <c r="N116">
        <v>6</v>
      </c>
      <c r="O116" s="26">
        <f t="shared" si="11"/>
        <v>45119</v>
      </c>
      <c r="P116">
        <v>28000000</v>
      </c>
      <c r="Q116">
        <v>20.100000000000001</v>
      </c>
      <c r="R116">
        <v>28000000</v>
      </c>
      <c r="S116" t="s">
        <v>684</v>
      </c>
      <c r="T116">
        <v>1</v>
      </c>
      <c r="U116">
        <v>627</v>
      </c>
      <c r="V116" t="s">
        <v>662</v>
      </c>
    </row>
    <row r="117" spans="1:22" x14ac:dyDescent="0.25">
      <c r="A117" t="s">
        <v>892</v>
      </c>
      <c r="B117" t="s">
        <v>619</v>
      </c>
      <c r="C117" t="s">
        <v>60</v>
      </c>
      <c r="D117" t="s">
        <v>690</v>
      </c>
      <c r="E117" t="str" cm="1">
        <f t="array" ref="E117">_xlfn.IFS(T117=0, "Performing", T117&lt;=30, "Watch", T117&lt;=90, "Substandard", T117&gt;90, "Non-Performing")</f>
        <v>Performing</v>
      </c>
      <c r="F117" t="s">
        <v>760</v>
      </c>
      <c r="I117" t="s">
        <v>712</v>
      </c>
      <c r="J117" s="20">
        <v>45348</v>
      </c>
      <c r="K117">
        <f t="shared" si="9"/>
        <v>59</v>
      </c>
      <c r="L117" s="22">
        <v>47148</v>
      </c>
      <c r="M117" s="28">
        <f t="shared" ca="1" si="10"/>
        <v>995</v>
      </c>
      <c r="N117">
        <v>60</v>
      </c>
      <c r="O117" s="26">
        <f t="shared" si="11"/>
        <v>47175</v>
      </c>
      <c r="P117">
        <v>37000000</v>
      </c>
      <c r="Q117">
        <v>23.7</v>
      </c>
      <c r="R117">
        <v>28000000</v>
      </c>
      <c r="S117" t="s">
        <v>720</v>
      </c>
      <c r="T117">
        <v>0</v>
      </c>
      <c r="U117">
        <v>0</v>
      </c>
      <c r="V117" t="s">
        <v>699</v>
      </c>
    </row>
    <row r="118" spans="1:22" x14ac:dyDescent="0.25">
      <c r="A118" t="s">
        <v>893</v>
      </c>
      <c r="B118" t="s">
        <v>361</v>
      </c>
      <c r="C118" t="s">
        <v>33</v>
      </c>
      <c r="D118" t="s">
        <v>686</v>
      </c>
      <c r="E118" t="str" cm="1">
        <f t="array" ref="E118">_xlfn.IFS(T118=0, "Performing", T118&lt;=30, "Watch", T118&lt;=90, "Substandard", T118&gt;90, "Non-Performing")</f>
        <v>Watch</v>
      </c>
      <c r="F118" t="s">
        <v>694</v>
      </c>
      <c r="I118" t="s">
        <v>671</v>
      </c>
      <c r="J118" s="20">
        <v>45378</v>
      </c>
      <c r="K118">
        <f t="shared" si="9"/>
        <v>44</v>
      </c>
      <c r="L118" s="22">
        <v>46724</v>
      </c>
      <c r="M118" s="28">
        <f t="shared" ca="1" si="10"/>
        <v>571</v>
      </c>
      <c r="N118">
        <v>36</v>
      </c>
      <c r="O118" s="26">
        <f t="shared" si="11"/>
        <v>46473</v>
      </c>
      <c r="P118">
        <v>42000000</v>
      </c>
      <c r="Q118">
        <v>27.7</v>
      </c>
      <c r="R118">
        <v>26000000</v>
      </c>
      <c r="S118" t="s">
        <v>661</v>
      </c>
      <c r="T118">
        <v>1</v>
      </c>
      <c r="U118">
        <v>613</v>
      </c>
      <c r="V118" t="s">
        <v>688</v>
      </c>
    </row>
    <row r="119" spans="1:22" x14ac:dyDescent="0.25">
      <c r="A119" t="s">
        <v>896</v>
      </c>
      <c r="B119" t="s">
        <v>482</v>
      </c>
      <c r="C119" t="s">
        <v>39</v>
      </c>
      <c r="D119" t="s">
        <v>678</v>
      </c>
      <c r="E119" t="str" cm="1">
        <f t="array" ref="E119">_xlfn.IFS(T119=0, "Performing", T119&lt;=30, "Watch", T119&lt;=90, "Substandard", T119&gt;90, "Non-Performing")</f>
        <v>Performing</v>
      </c>
      <c r="F119" t="s">
        <v>665</v>
      </c>
      <c r="I119" t="s">
        <v>727</v>
      </c>
      <c r="J119" s="20">
        <v>44255</v>
      </c>
      <c r="K119">
        <f t="shared" si="9"/>
        <v>5</v>
      </c>
      <c r="L119" s="22">
        <v>44435</v>
      </c>
      <c r="M119" s="28">
        <f t="shared" ca="1" si="10"/>
        <v>0</v>
      </c>
      <c r="N119">
        <v>6</v>
      </c>
      <c r="O119" s="26">
        <f t="shared" si="11"/>
        <v>44436</v>
      </c>
      <c r="P119">
        <v>232000000</v>
      </c>
      <c r="Q119">
        <v>20.5</v>
      </c>
      <c r="R119">
        <v>25000000</v>
      </c>
      <c r="S119" t="s">
        <v>692</v>
      </c>
      <c r="T119">
        <v>0</v>
      </c>
      <c r="U119">
        <v>66</v>
      </c>
      <c r="V119" t="s">
        <v>688</v>
      </c>
    </row>
    <row r="120" spans="1:22" x14ac:dyDescent="0.25">
      <c r="A120" t="s">
        <v>737</v>
      </c>
      <c r="B120" t="s">
        <v>182</v>
      </c>
      <c r="C120" t="s">
        <v>39</v>
      </c>
      <c r="D120" t="s">
        <v>670</v>
      </c>
      <c r="E120" t="str" cm="1">
        <f t="array" ref="E120">_xlfn.IFS(T120=0, "Performing", T120&lt;=30, "Watch", T120&lt;=90, "Substandard", T120&gt;90, "Non-Performing")</f>
        <v>Watch</v>
      </c>
      <c r="F120" t="s">
        <v>679</v>
      </c>
      <c r="I120" t="s">
        <v>698</v>
      </c>
      <c r="J120" s="20">
        <v>44891</v>
      </c>
      <c r="K120">
        <f t="shared" si="9"/>
        <v>34</v>
      </c>
      <c r="L120" s="22">
        <v>45941</v>
      </c>
      <c r="M120" s="28">
        <f t="shared" ca="1" si="10"/>
        <v>0</v>
      </c>
      <c r="N120">
        <v>36</v>
      </c>
      <c r="O120" s="26">
        <f t="shared" si="11"/>
        <v>45987</v>
      </c>
      <c r="P120">
        <v>24000000</v>
      </c>
      <c r="Q120">
        <v>22.4</v>
      </c>
      <c r="R120">
        <v>24000000</v>
      </c>
      <c r="S120" t="s">
        <v>684</v>
      </c>
      <c r="T120">
        <v>1</v>
      </c>
      <c r="U120">
        <v>603</v>
      </c>
      <c r="V120" t="s">
        <v>676</v>
      </c>
    </row>
    <row r="121" spans="1:22" x14ac:dyDescent="0.25">
      <c r="A121" t="s">
        <v>801</v>
      </c>
      <c r="B121" t="s">
        <v>278</v>
      </c>
      <c r="C121" t="s">
        <v>33</v>
      </c>
      <c r="D121" t="s">
        <v>701</v>
      </c>
      <c r="E121" t="str" cm="1">
        <f t="array" ref="E121">_xlfn.IFS(T121=0, "Performing", T121&lt;=30, "Watch", T121&lt;=90, "Substandard", T121&gt;90, "Non-Performing")</f>
        <v>Performing</v>
      </c>
      <c r="F121" t="s">
        <v>694</v>
      </c>
      <c r="I121" t="s">
        <v>695</v>
      </c>
      <c r="J121" s="20">
        <v>44383</v>
      </c>
      <c r="K121">
        <f t="shared" si="9"/>
        <v>22</v>
      </c>
      <c r="L121" s="22">
        <v>45074</v>
      </c>
      <c r="M121" s="28">
        <f t="shared" ca="1" si="10"/>
        <v>0</v>
      </c>
      <c r="N121">
        <v>24</v>
      </c>
      <c r="O121" s="26">
        <f t="shared" si="11"/>
        <v>45113</v>
      </c>
      <c r="P121">
        <v>30000000</v>
      </c>
      <c r="Q121" t="s">
        <v>803</v>
      </c>
      <c r="R121">
        <v>24000000</v>
      </c>
      <c r="S121" t="s">
        <v>804</v>
      </c>
      <c r="T121">
        <v>0</v>
      </c>
      <c r="U121">
        <v>41</v>
      </c>
      <c r="V121" t="s">
        <v>699</v>
      </c>
    </row>
    <row r="122" spans="1:22" x14ac:dyDescent="0.25">
      <c r="A122" t="s">
        <v>902</v>
      </c>
      <c r="B122" t="s">
        <v>124</v>
      </c>
      <c r="C122" t="s">
        <v>33</v>
      </c>
      <c r="D122" t="s">
        <v>701</v>
      </c>
      <c r="E122" t="str" cm="1">
        <f t="array" ref="E122">_xlfn.IFS(T122=0, "Performing", T122&lt;=30, "Watch", T122&lt;=90, "Substandard", T122&gt;90, "Non-Performing")</f>
        <v>Watch</v>
      </c>
      <c r="F122" t="s">
        <v>111</v>
      </c>
      <c r="I122" t="s">
        <v>695</v>
      </c>
      <c r="J122" s="20">
        <v>44660</v>
      </c>
      <c r="K122">
        <f t="shared" si="9"/>
        <v>16</v>
      </c>
      <c r="L122" s="22">
        <v>45168</v>
      </c>
      <c r="M122" s="28">
        <f t="shared" ca="1" si="10"/>
        <v>0</v>
      </c>
      <c r="N122">
        <v>12</v>
      </c>
      <c r="O122" s="26">
        <f t="shared" si="11"/>
        <v>45025</v>
      </c>
      <c r="P122">
        <v>24000000</v>
      </c>
      <c r="Q122">
        <v>17.3</v>
      </c>
      <c r="R122">
        <v>24000000</v>
      </c>
      <c r="S122" t="s">
        <v>684</v>
      </c>
      <c r="T122">
        <v>1</v>
      </c>
      <c r="U122">
        <v>423</v>
      </c>
      <c r="V122" t="s">
        <v>676</v>
      </c>
    </row>
    <row r="123" spans="1:22" x14ac:dyDescent="0.25">
      <c r="A123" t="s">
        <v>783</v>
      </c>
      <c r="B123" t="s">
        <v>575</v>
      </c>
      <c r="C123" t="s">
        <v>33</v>
      </c>
      <c r="D123" t="s">
        <v>682</v>
      </c>
      <c r="E123" t="str" cm="1">
        <f t="array" ref="E123">_xlfn.IFS(T123=0, "Performing", T123&lt;=30, "Watch", T123&lt;=90, "Substandard", T123&gt;90, "Non-Performing")</f>
        <v>Watch</v>
      </c>
      <c r="F123" t="s">
        <v>659</v>
      </c>
      <c r="I123" t="s">
        <v>680</v>
      </c>
      <c r="J123" s="20">
        <v>44579</v>
      </c>
      <c r="K123">
        <f t="shared" si="9"/>
        <v>17</v>
      </c>
      <c r="L123" s="22">
        <v>45119</v>
      </c>
      <c r="M123" s="28">
        <f t="shared" ca="1" si="10"/>
        <v>0</v>
      </c>
      <c r="N123">
        <v>18</v>
      </c>
      <c r="O123" s="26">
        <f t="shared" si="11"/>
        <v>45125</v>
      </c>
      <c r="P123">
        <v>21000000</v>
      </c>
      <c r="Q123">
        <v>17.7</v>
      </c>
      <c r="R123">
        <v>21000000</v>
      </c>
      <c r="S123" t="s">
        <v>684</v>
      </c>
      <c r="T123">
        <v>1</v>
      </c>
      <c r="U123">
        <v>631</v>
      </c>
      <c r="V123" t="s">
        <v>702</v>
      </c>
    </row>
    <row r="124" spans="1:22" x14ac:dyDescent="0.25">
      <c r="A124" t="s">
        <v>825</v>
      </c>
      <c r="B124" t="s">
        <v>498</v>
      </c>
      <c r="C124" t="s">
        <v>53</v>
      </c>
      <c r="D124" t="s">
        <v>701</v>
      </c>
      <c r="E124" t="str" cm="1">
        <f t="array" ref="E124">_xlfn.IFS(T124=0, "Performing", T124&lt;=30, "Watch", T124&lt;=90, "Substandard", T124&gt;90, "Non-Performing")</f>
        <v>Performing</v>
      </c>
      <c r="F124" t="s">
        <v>711</v>
      </c>
      <c r="I124" t="s">
        <v>674</v>
      </c>
      <c r="J124" s="20">
        <v>44534</v>
      </c>
      <c r="K124">
        <f t="shared" si="9"/>
        <v>15</v>
      </c>
      <c r="L124" s="22">
        <v>45018</v>
      </c>
      <c r="M124" s="28">
        <f t="shared" ca="1" si="10"/>
        <v>0</v>
      </c>
      <c r="N124">
        <v>24</v>
      </c>
      <c r="O124" s="26">
        <f t="shared" si="11"/>
        <v>45264</v>
      </c>
      <c r="P124">
        <v>37000000</v>
      </c>
      <c r="Q124">
        <v>14.8</v>
      </c>
      <c r="R124">
        <v>21000000</v>
      </c>
      <c r="S124" t="s">
        <v>720</v>
      </c>
      <c r="T124">
        <v>0</v>
      </c>
      <c r="U124">
        <v>0</v>
      </c>
    </row>
    <row r="125" spans="1:22" x14ac:dyDescent="0.25">
      <c r="A125" t="s">
        <v>924</v>
      </c>
      <c r="B125" t="s">
        <v>611</v>
      </c>
      <c r="C125" t="s">
        <v>67</v>
      </c>
      <c r="D125" t="s">
        <v>664</v>
      </c>
      <c r="E125" t="str" cm="1">
        <f t="array" ref="E125">_xlfn.IFS(T125=0, "Performing", T125&lt;=30, "Watch", T125&lt;=90, "Substandard", T125&gt;90, "Non-Performing")</f>
        <v>Performing</v>
      </c>
      <c r="F125" t="s">
        <v>760</v>
      </c>
      <c r="I125" t="s">
        <v>691</v>
      </c>
      <c r="J125" s="20">
        <v>44757</v>
      </c>
      <c r="K125">
        <f t="shared" si="9"/>
        <v>14</v>
      </c>
      <c r="L125" s="22">
        <v>45206</v>
      </c>
      <c r="M125" s="28">
        <f t="shared" ca="1" si="10"/>
        <v>0</v>
      </c>
      <c r="N125">
        <v>12</v>
      </c>
      <c r="O125" s="26">
        <f t="shared" si="11"/>
        <v>45122</v>
      </c>
      <c r="P125">
        <v>50000000</v>
      </c>
      <c r="Q125">
        <v>16.600000000000001</v>
      </c>
      <c r="R125">
        <v>20000000</v>
      </c>
      <c r="S125" t="s">
        <v>692</v>
      </c>
      <c r="T125">
        <v>0</v>
      </c>
      <c r="U125">
        <v>69</v>
      </c>
    </row>
    <row r="126" spans="1:22" x14ac:dyDescent="0.25">
      <c r="A126" t="s">
        <v>710</v>
      </c>
      <c r="B126" t="s">
        <v>371</v>
      </c>
      <c r="C126" t="s">
        <v>33</v>
      </c>
      <c r="D126" t="s">
        <v>701</v>
      </c>
      <c r="E126" t="str" cm="1">
        <f t="array" ref="E126">_xlfn.IFS(T126=0, "Performing", T126&lt;=30, "Watch", T126&lt;=90, "Substandard", T126&gt;90, "Non-Performing")</f>
        <v>Watch</v>
      </c>
      <c r="F126" t="s">
        <v>711</v>
      </c>
      <c r="I126" t="s">
        <v>712</v>
      </c>
      <c r="J126" s="20">
        <v>44386</v>
      </c>
      <c r="K126">
        <f t="shared" si="9"/>
        <v>10</v>
      </c>
      <c r="L126" s="22">
        <v>44715</v>
      </c>
      <c r="M126" s="28">
        <f t="shared" ca="1" si="10"/>
        <v>0</v>
      </c>
      <c r="N126">
        <v>6</v>
      </c>
      <c r="O126" s="26">
        <f t="shared" si="11"/>
        <v>44570</v>
      </c>
      <c r="P126">
        <v>16000000</v>
      </c>
      <c r="Q126" t="s">
        <v>713</v>
      </c>
      <c r="R126">
        <v>16000000</v>
      </c>
      <c r="S126" t="s">
        <v>684</v>
      </c>
      <c r="T126">
        <v>1</v>
      </c>
      <c r="U126">
        <v>702</v>
      </c>
      <c r="V126" t="s">
        <v>714</v>
      </c>
    </row>
    <row r="127" spans="1:22" x14ac:dyDescent="0.25">
      <c r="A127" t="s">
        <v>723</v>
      </c>
      <c r="B127" t="s">
        <v>283</v>
      </c>
      <c r="C127" t="s">
        <v>25</v>
      </c>
      <c r="D127" t="s">
        <v>670</v>
      </c>
      <c r="E127" t="str" cm="1">
        <f t="array" ref="E127">_xlfn.IFS(T127=0, "Performing", T127&lt;=30, "Watch", T127&lt;=90, "Substandard", T127&gt;90, "Non-Performing")</f>
        <v>Performing</v>
      </c>
      <c r="F127" t="s">
        <v>679</v>
      </c>
      <c r="I127" t="s">
        <v>698</v>
      </c>
      <c r="J127" s="20">
        <v>45247</v>
      </c>
      <c r="K127">
        <f t="shared" si="9"/>
        <v>59</v>
      </c>
      <c r="L127" s="22">
        <v>47047</v>
      </c>
      <c r="M127" s="28">
        <f t="shared" ca="1" si="10"/>
        <v>894</v>
      </c>
      <c r="N127">
        <v>60</v>
      </c>
      <c r="O127" s="26">
        <f t="shared" si="11"/>
        <v>47074</v>
      </c>
      <c r="P127">
        <v>48000000</v>
      </c>
      <c r="Q127">
        <v>16</v>
      </c>
      <c r="R127">
        <v>16000000</v>
      </c>
      <c r="S127" t="s">
        <v>724</v>
      </c>
      <c r="T127">
        <v>0</v>
      </c>
      <c r="U127">
        <v>59</v>
      </c>
      <c r="V127" t="s">
        <v>676</v>
      </c>
    </row>
    <row r="128" spans="1:22" x14ac:dyDescent="0.25">
      <c r="A128" t="s">
        <v>795</v>
      </c>
      <c r="B128" t="s">
        <v>253</v>
      </c>
      <c r="C128" t="s">
        <v>67</v>
      </c>
      <c r="D128" t="s">
        <v>670</v>
      </c>
      <c r="E128" t="str" cm="1">
        <f t="array" ref="E128">_xlfn.IFS(T128=0, "Performing", T128&lt;=30, "Watch", T128&lt;=90, "Substandard", T128&gt;90, "Non-Performing")</f>
        <v>Performing</v>
      </c>
      <c r="F128" t="s">
        <v>659</v>
      </c>
      <c r="I128" t="s">
        <v>674</v>
      </c>
      <c r="J128" s="20">
        <v>44661</v>
      </c>
      <c r="K128">
        <f t="shared" si="9"/>
        <v>23</v>
      </c>
      <c r="L128" s="22">
        <v>45378</v>
      </c>
      <c r="M128" s="28">
        <f t="shared" ca="1" si="10"/>
        <v>0</v>
      </c>
      <c r="N128">
        <v>18</v>
      </c>
      <c r="O128" s="26">
        <f t="shared" si="11"/>
        <v>45209</v>
      </c>
      <c r="P128">
        <v>20000000</v>
      </c>
      <c r="Q128">
        <v>23</v>
      </c>
      <c r="R128">
        <v>16000000</v>
      </c>
      <c r="S128" t="s">
        <v>667</v>
      </c>
      <c r="T128">
        <v>0</v>
      </c>
      <c r="U128">
        <v>0</v>
      </c>
      <c r="V128" t="s">
        <v>714</v>
      </c>
    </row>
    <row r="129" spans="1:22" x14ac:dyDescent="0.25">
      <c r="A129" t="s">
        <v>835</v>
      </c>
      <c r="B129" t="s">
        <v>419</v>
      </c>
      <c r="C129" t="s">
        <v>60</v>
      </c>
      <c r="D129" t="s">
        <v>707</v>
      </c>
      <c r="E129" t="str" cm="1">
        <f t="array" ref="E129">_xlfn.IFS(T129=0, "Performing", T129&lt;=30, "Watch", T129&lt;=90, "Substandard", T129&gt;90, "Non-Performing")</f>
        <v>Watch</v>
      </c>
      <c r="F129" t="s">
        <v>694</v>
      </c>
      <c r="I129" t="s">
        <v>666</v>
      </c>
      <c r="J129" s="20">
        <v>44600</v>
      </c>
      <c r="K129">
        <f t="shared" si="9"/>
        <v>23</v>
      </c>
      <c r="L129" s="22">
        <v>45315</v>
      </c>
      <c r="M129" s="28">
        <f t="shared" ca="1" si="10"/>
        <v>0</v>
      </c>
      <c r="N129">
        <v>18</v>
      </c>
      <c r="O129" s="26">
        <f t="shared" si="11"/>
        <v>45146</v>
      </c>
      <c r="P129">
        <v>44000000</v>
      </c>
      <c r="Q129">
        <v>18.7</v>
      </c>
      <c r="R129">
        <v>16000000</v>
      </c>
      <c r="S129" t="s">
        <v>661</v>
      </c>
      <c r="T129">
        <v>1</v>
      </c>
      <c r="U129">
        <v>374</v>
      </c>
      <c r="V129" t="s">
        <v>699</v>
      </c>
    </row>
    <row r="130" spans="1:22" x14ac:dyDescent="0.25">
      <c r="A130" t="s">
        <v>882</v>
      </c>
      <c r="B130" t="s">
        <v>559</v>
      </c>
      <c r="C130" t="s">
        <v>67</v>
      </c>
      <c r="D130" t="s">
        <v>722</v>
      </c>
      <c r="E130" t="str" cm="1">
        <f t="array" ref="E130">_xlfn.IFS(T130=0, "Performing", T130&lt;=30, "Watch", T130&lt;=90, "Substandard", T130&gt;90, "Non-Performing")</f>
        <v>Watch</v>
      </c>
      <c r="F130" t="s">
        <v>768</v>
      </c>
      <c r="I130" t="s">
        <v>695</v>
      </c>
      <c r="J130" s="20">
        <v>44205</v>
      </c>
      <c r="K130">
        <f t="shared" ref="K130:K161" si="12">IF(J130 &gt; L130, 0, DATEDIF(J130, L130, "m"))</f>
        <v>57</v>
      </c>
      <c r="L130" s="22">
        <v>45969</v>
      </c>
      <c r="M130" s="28">
        <f t="shared" ref="M130:M161" ca="1" si="13">MAX(0, L130 - TODAY())</f>
        <v>0</v>
      </c>
      <c r="N130">
        <v>48</v>
      </c>
      <c r="O130" s="26">
        <f t="shared" ref="O130:O161" si="14">EDATE(J130, N130)</f>
        <v>45666</v>
      </c>
      <c r="P130">
        <v>15000000</v>
      </c>
      <c r="Q130">
        <v>17</v>
      </c>
      <c r="R130">
        <v>15000000</v>
      </c>
      <c r="S130" t="s">
        <v>684</v>
      </c>
      <c r="T130">
        <v>1</v>
      </c>
      <c r="U130">
        <v>437</v>
      </c>
      <c r="V130" t="s">
        <v>714</v>
      </c>
    </row>
    <row r="131" spans="1:22" x14ac:dyDescent="0.25">
      <c r="A131" t="s">
        <v>889</v>
      </c>
      <c r="B131" t="s">
        <v>607</v>
      </c>
      <c r="C131" t="s">
        <v>53</v>
      </c>
      <c r="D131" t="s">
        <v>690</v>
      </c>
      <c r="E131" t="str" cm="1">
        <f t="array" ref="E131">_xlfn.IFS(T131=0, "Performing", T131&lt;=30, "Watch", T131&lt;=90, "Substandard", T131&gt;90, "Non-Performing")</f>
        <v>Watch</v>
      </c>
      <c r="F131" t="s">
        <v>687</v>
      </c>
      <c r="I131" t="s">
        <v>680</v>
      </c>
      <c r="J131" s="20">
        <v>44770</v>
      </c>
      <c r="K131">
        <f t="shared" si="12"/>
        <v>23</v>
      </c>
      <c r="L131" s="22">
        <v>45490</v>
      </c>
      <c r="M131" s="28">
        <f t="shared" ca="1" si="13"/>
        <v>0</v>
      </c>
      <c r="N131">
        <v>24</v>
      </c>
      <c r="O131" s="26">
        <f t="shared" si="14"/>
        <v>45501</v>
      </c>
      <c r="P131">
        <v>15000000</v>
      </c>
      <c r="Q131">
        <v>21.4</v>
      </c>
      <c r="R131">
        <v>15000000</v>
      </c>
      <c r="S131" t="s">
        <v>684</v>
      </c>
      <c r="T131">
        <v>1</v>
      </c>
      <c r="U131">
        <v>580</v>
      </c>
      <c r="V131" t="s">
        <v>714</v>
      </c>
    </row>
    <row r="132" spans="1:22" x14ac:dyDescent="0.25">
      <c r="A132" t="s">
        <v>697</v>
      </c>
      <c r="B132" t="s">
        <v>340</v>
      </c>
      <c r="C132" t="s">
        <v>53</v>
      </c>
      <c r="D132" t="s">
        <v>664</v>
      </c>
      <c r="E132" t="str" cm="1">
        <f t="array" ref="E132">_xlfn.IFS(T132=0, "Performing", T132&lt;=30, "Watch", T132&lt;=90, "Substandard", T132&gt;90, "Non-Performing")</f>
        <v>Performing</v>
      </c>
      <c r="F132" t="s">
        <v>679</v>
      </c>
      <c r="I132" t="s">
        <v>698</v>
      </c>
      <c r="J132" s="20">
        <v>45540</v>
      </c>
      <c r="K132">
        <f t="shared" si="12"/>
        <v>0</v>
      </c>
      <c r="L132" s="22">
        <v>45423</v>
      </c>
      <c r="M132" s="28">
        <f t="shared" ca="1" si="13"/>
        <v>0</v>
      </c>
      <c r="N132">
        <v>6</v>
      </c>
      <c r="O132" s="26">
        <f t="shared" si="14"/>
        <v>45721</v>
      </c>
      <c r="P132">
        <v>41000000</v>
      </c>
      <c r="Q132">
        <v>18.600000000000001</v>
      </c>
      <c r="R132">
        <v>14000000</v>
      </c>
      <c r="S132" t="s">
        <v>692</v>
      </c>
      <c r="T132">
        <v>0</v>
      </c>
      <c r="U132">
        <v>49</v>
      </c>
      <c r="V132" t="s">
        <v>699</v>
      </c>
    </row>
    <row r="133" spans="1:22" x14ac:dyDescent="0.25">
      <c r="A133" t="s">
        <v>830</v>
      </c>
      <c r="B133" t="s">
        <v>470</v>
      </c>
      <c r="C133" t="s">
        <v>73</v>
      </c>
      <c r="E133" t="str" cm="1">
        <f t="array" ref="E133">_xlfn.IFS(T133=0, "Performing", T133&lt;=30, "Watch", T133&lt;=90, "Substandard", T133&gt;90, "Non-Performing")</f>
        <v>Watch</v>
      </c>
      <c r="F133" t="s">
        <v>687</v>
      </c>
      <c r="I133" t="s">
        <v>712</v>
      </c>
      <c r="J133" s="20">
        <v>45081</v>
      </c>
      <c r="K133">
        <f t="shared" si="12"/>
        <v>9</v>
      </c>
      <c r="L133" s="22">
        <v>45382</v>
      </c>
      <c r="M133" s="28">
        <f t="shared" ca="1" si="13"/>
        <v>0</v>
      </c>
      <c r="N133">
        <v>12</v>
      </c>
      <c r="O133" s="26">
        <f t="shared" si="14"/>
        <v>45447</v>
      </c>
      <c r="P133">
        <v>40000000</v>
      </c>
      <c r="Q133">
        <v>19.5</v>
      </c>
      <c r="R133">
        <v>13000000</v>
      </c>
      <c r="S133" t="s">
        <v>661</v>
      </c>
      <c r="T133">
        <v>1</v>
      </c>
      <c r="U133">
        <v>141</v>
      </c>
      <c r="V133" t="s">
        <v>688</v>
      </c>
    </row>
    <row r="134" spans="1:22" x14ac:dyDescent="0.25">
      <c r="A134" t="s">
        <v>832</v>
      </c>
      <c r="B134" t="s">
        <v>522</v>
      </c>
      <c r="C134" t="s">
        <v>67</v>
      </c>
      <c r="D134" t="s">
        <v>678</v>
      </c>
      <c r="E134" t="str" cm="1">
        <f t="array" ref="E134">_xlfn.IFS(T134=0, "Performing", T134&lt;=30, "Watch", T134&lt;=90, "Substandard", T134&gt;90, "Non-Performing")</f>
        <v>Watch</v>
      </c>
      <c r="F134" t="s">
        <v>665</v>
      </c>
      <c r="I134" t="s">
        <v>666</v>
      </c>
      <c r="J134" s="20">
        <v>44199</v>
      </c>
      <c r="K134">
        <f t="shared" si="12"/>
        <v>13</v>
      </c>
      <c r="L134" s="22">
        <v>44616</v>
      </c>
      <c r="M134" s="28">
        <f t="shared" ca="1" si="13"/>
        <v>0</v>
      </c>
      <c r="N134">
        <v>12</v>
      </c>
      <c r="O134" s="26">
        <f t="shared" si="14"/>
        <v>44564</v>
      </c>
      <c r="P134">
        <v>13000000</v>
      </c>
      <c r="Q134">
        <v>17.5</v>
      </c>
      <c r="R134">
        <v>13000000</v>
      </c>
      <c r="S134" t="s">
        <v>684</v>
      </c>
      <c r="T134">
        <v>1</v>
      </c>
      <c r="U134">
        <v>142</v>
      </c>
      <c r="V134" t="s">
        <v>702</v>
      </c>
    </row>
    <row r="135" spans="1:22" x14ac:dyDescent="0.25">
      <c r="A135" t="s">
        <v>789</v>
      </c>
      <c r="B135" t="s">
        <v>563</v>
      </c>
      <c r="C135" t="s">
        <v>46</v>
      </c>
      <c r="D135" t="s">
        <v>673</v>
      </c>
      <c r="E135" t="str" cm="1">
        <f t="array" ref="E135">_xlfn.IFS(T135=0, "Performing", T135&lt;=30, "Watch", T135&lt;=90, "Substandard", T135&gt;90, "Non-Performing")</f>
        <v>Performing</v>
      </c>
      <c r="F135" t="s">
        <v>718</v>
      </c>
      <c r="I135" t="s">
        <v>666</v>
      </c>
      <c r="J135" s="20">
        <v>44915</v>
      </c>
      <c r="K135">
        <f t="shared" si="12"/>
        <v>27</v>
      </c>
      <c r="L135" s="22">
        <v>45759</v>
      </c>
      <c r="M135" s="28">
        <f t="shared" ca="1" si="13"/>
        <v>0</v>
      </c>
      <c r="N135">
        <v>36</v>
      </c>
      <c r="O135" s="26">
        <f t="shared" si="14"/>
        <v>46011</v>
      </c>
      <c r="P135">
        <v>18000000</v>
      </c>
      <c r="Q135" t="s">
        <v>790</v>
      </c>
      <c r="R135">
        <v>12000000</v>
      </c>
      <c r="S135" t="s">
        <v>667</v>
      </c>
      <c r="T135">
        <v>0</v>
      </c>
      <c r="U135">
        <v>0</v>
      </c>
      <c r="V135" t="s">
        <v>699</v>
      </c>
    </row>
    <row r="136" spans="1:22" x14ac:dyDescent="0.25">
      <c r="A136" t="s">
        <v>850</v>
      </c>
      <c r="B136" t="s">
        <v>154</v>
      </c>
      <c r="C136" t="s">
        <v>73</v>
      </c>
      <c r="E136" t="str" cm="1">
        <f t="array" ref="E136">_xlfn.IFS(T136=0, "Performing", T136&lt;=30, "Watch", T136&lt;=90, "Substandard", T136&gt;90, "Non-Performing")</f>
        <v>Performing</v>
      </c>
      <c r="F136" t="s">
        <v>694</v>
      </c>
      <c r="I136" t="s">
        <v>691</v>
      </c>
      <c r="J136" s="20">
        <v>44377</v>
      </c>
      <c r="K136">
        <f t="shared" si="12"/>
        <v>59</v>
      </c>
      <c r="L136" s="22">
        <v>46177</v>
      </c>
      <c r="M136" s="28">
        <f t="shared" ca="1" si="13"/>
        <v>24</v>
      </c>
      <c r="N136">
        <v>60</v>
      </c>
      <c r="O136" s="26">
        <f t="shared" si="14"/>
        <v>46203</v>
      </c>
      <c r="P136">
        <v>32000000</v>
      </c>
      <c r="Q136">
        <v>27.7</v>
      </c>
      <c r="R136">
        <v>12000000</v>
      </c>
      <c r="S136" t="s">
        <v>667</v>
      </c>
      <c r="T136">
        <v>0</v>
      </c>
      <c r="U136">
        <v>0</v>
      </c>
      <c r="V136" t="s">
        <v>662</v>
      </c>
    </row>
    <row r="137" spans="1:22" x14ac:dyDescent="0.25">
      <c r="A137" t="s">
        <v>866</v>
      </c>
      <c r="B137" t="s">
        <v>583</v>
      </c>
      <c r="C137" t="s">
        <v>46</v>
      </c>
      <c r="D137" t="s">
        <v>701</v>
      </c>
      <c r="E137" t="str" cm="1">
        <f t="array" ref="E137">_xlfn.IFS(T137=0, "Performing", T137&lt;=30, "Watch", T137&lt;=90, "Substandard", T137&gt;90, "Non-Performing")</f>
        <v>Performing</v>
      </c>
      <c r="F137" t="s">
        <v>679</v>
      </c>
      <c r="I137" t="s">
        <v>660</v>
      </c>
      <c r="J137" s="20">
        <v>45120</v>
      </c>
      <c r="K137">
        <f t="shared" si="12"/>
        <v>47</v>
      </c>
      <c r="L137" s="22">
        <v>46560</v>
      </c>
      <c r="M137" s="28">
        <f t="shared" ca="1" si="13"/>
        <v>407</v>
      </c>
      <c r="N137">
        <v>48</v>
      </c>
      <c r="O137" s="26">
        <f t="shared" si="14"/>
        <v>46581</v>
      </c>
      <c r="P137">
        <v>26000000</v>
      </c>
      <c r="Q137">
        <v>19.5</v>
      </c>
      <c r="R137">
        <v>12000000</v>
      </c>
      <c r="S137" t="s">
        <v>720</v>
      </c>
      <c r="T137">
        <v>0</v>
      </c>
      <c r="U137">
        <v>0</v>
      </c>
    </row>
    <row r="138" spans="1:22" x14ac:dyDescent="0.25">
      <c r="A138" t="s">
        <v>798</v>
      </c>
      <c r="B138" t="s">
        <v>187</v>
      </c>
      <c r="C138" t="s">
        <v>67</v>
      </c>
      <c r="D138" t="s">
        <v>682</v>
      </c>
      <c r="E138" t="str" cm="1">
        <f t="array" ref="E138">_xlfn.IFS(T138=0, "Performing", T138&lt;=30, "Watch", T138&lt;=90, "Substandard", T138&gt;90, "Non-Performing")</f>
        <v>Performing</v>
      </c>
      <c r="F138" t="s">
        <v>679</v>
      </c>
      <c r="I138" t="s">
        <v>698</v>
      </c>
      <c r="J138" s="20">
        <v>45315</v>
      </c>
      <c r="K138">
        <f t="shared" si="12"/>
        <v>49</v>
      </c>
      <c r="L138" s="22">
        <v>46813</v>
      </c>
      <c r="M138" s="28">
        <f t="shared" ca="1" si="13"/>
        <v>660</v>
      </c>
      <c r="N138">
        <v>48</v>
      </c>
      <c r="O138" s="26">
        <f t="shared" si="14"/>
        <v>46776</v>
      </c>
      <c r="P138">
        <v>12000000</v>
      </c>
      <c r="Q138">
        <v>14.2</v>
      </c>
      <c r="R138">
        <v>11000000</v>
      </c>
      <c r="S138" t="s">
        <v>720</v>
      </c>
      <c r="T138">
        <v>0</v>
      </c>
      <c r="U138">
        <v>0</v>
      </c>
      <c r="V138" t="s">
        <v>736</v>
      </c>
    </row>
    <row r="139" spans="1:22" x14ac:dyDescent="0.25">
      <c r="A139" t="s">
        <v>829</v>
      </c>
      <c r="B139" t="s">
        <v>283</v>
      </c>
      <c r="C139" t="s">
        <v>73</v>
      </c>
      <c r="D139" t="s">
        <v>752</v>
      </c>
      <c r="E139" t="str" cm="1">
        <f t="array" ref="E139">_xlfn.IFS(T139=0, "Performing", T139&lt;=30, "Watch", T139&lt;=90, "Substandard", T139&gt;90, "Non-Performing")</f>
        <v>Performing</v>
      </c>
      <c r="F139" t="s">
        <v>694</v>
      </c>
      <c r="I139" t="s">
        <v>666</v>
      </c>
      <c r="J139" s="20">
        <v>45119</v>
      </c>
      <c r="K139">
        <f t="shared" si="12"/>
        <v>62</v>
      </c>
      <c r="L139" s="22">
        <v>47037</v>
      </c>
      <c r="M139" s="28">
        <f t="shared" ca="1" si="13"/>
        <v>884</v>
      </c>
      <c r="N139">
        <v>60</v>
      </c>
      <c r="O139" s="26">
        <f t="shared" si="14"/>
        <v>46946</v>
      </c>
      <c r="P139">
        <v>27000000</v>
      </c>
      <c r="Q139">
        <v>16.100000000000001</v>
      </c>
      <c r="R139">
        <v>11000000</v>
      </c>
      <c r="S139" t="s">
        <v>692</v>
      </c>
      <c r="T139">
        <v>0</v>
      </c>
      <c r="U139">
        <v>37</v>
      </c>
      <c r="V139" t="s">
        <v>662</v>
      </c>
    </row>
    <row r="140" spans="1:22" x14ac:dyDescent="0.25">
      <c r="A140" t="s">
        <v>700</v>
      </c>
      <c r="B140" t="s">
        <v>187</v>
      </c>
      <c r="C140" t="s">
        <v>33</v>
      </c>
      <c r="D140" t="s">
        <v>701</v>
      </c>
      <c r="E140" t="str" cm="1">
        <f t="array" ref="E140">_xlfn.IFS(T140=0, "Performing", T140&lt;=30, "Watch", T140&lt;=90, "Substandard", T140&gt;90, "Non-Performing")</f>
        <v>Watch</v>
      </c>
      <c r="F140" t="s">
        <v>665</v>
      </c>
      <c r="I140" t="s">
        <v>660</v>
      </c>
      <c r="J140" s="20">
        <v>44662</v>
      </c>
      <c r="K140">
        <f t="shared" si="12"/>
        <v>64</v>
      </c>
      <c r="L140" s="22">
        <v>46640</v>
      </c>
      <c r="M140" s="28">
        <f t="shared" ca="1" si="13"/>
        <v>487</v>
      </c>
      <c r="N140">
        <v>60</v>
      </c>
      <c r="O140" s="26">
        <f t="shared" si="14"/>
        <v>46488</v>
      </c>
      <c r="P140">
        <v>9000000</v>
      </c>
      <c r="Q140">
        <v>23</v>
      </c>
      <c r="R140">
        <v>9000000</v>
      </c>
      <c r="S140" t="s">
        <v>684</v>
      </c>
      <c r="T140">
        <v>1</v>
      </c>
      <c r="U140">
        <v>611</v>
      </c>
      <c r="V140" t="s">
        <v>702</v>
      </c>
    </row>
    <row r="141" spans="1:22" x14ac:dyDescent="0.25">
      <c r="A141" t="s">
        <v>806</v>
      </c>
      <c r="B141" t="s">
        <v>142</v>
      </c>
      <c r="C141" t="s">
        <v>73</v>
      </c>
      <c r="D141" t="s">
        <v>701</v>
      </c>
      <c r="E141" t="str" cm="1">
        <f t="array" ref="E141">_xlfn.IFS(T141=0, "Performing", T141&lt;=30, "Watch", T141&lt;=90, "Substandard", T141&gt;90, "Non-Performing")</f>
        <v>Watch</v>
      </c>
      <c r="F141" t="s">
        <v>760</v>
      </c>
      <c r="I141" t="s">
        <v>698</v>
      </c>
      <c r="J141" s="20">
        <v>44373</v>
      </c>
      <c r="K141">
        <f t="shared" si="12"/>
        <v>39</v>
      </c>
      <c r="L141" s="22">
        <v>45571</v>
      </c>
      <c r="M141" s="28">
        <f t="shared" ca="1" si="13"/>
        <v>0</v>
      </c>
      <c r="N141">
        <v>36</v>
      </c>
      <c r="O141" s="26">
        <f t="shared" si="14"/>
        <v>45469</v>
      </c>
      <c r="P141">
        <v>30000000</v>
      </c>
      <c r="Q141">
        <v>18.100000000000001</v>
      </c>
      <c r="R141">
        <v>9000000</v>
      </c>
      <c r="S141" t="s">
        <v>661</v>
      </c>
      <c r="T141">
        <v>1</v>
      </c>
      <c r="U141">
        <v>339</v>
      </c>
      <c r="V141" t="s">
        <v>688</v>
      </c>
    </row>
    <row r="142" spans="1:22" x14ac:dyDescent="0.25">
      <c r="A142" t="s">
        <v>848</v>
      </c>
      <c r="B142" t="s">
        <v>402</v>
      </c>
      <c r="C142" t="s">
        <v>73</v>
      </c>
      <c r="D142" t="s">
        <v>670</v>
      </c>
      <c r="E142" t="str" cm="1">
        <f t="array" ref="E142">_xlfn.IFS(T142=0, "Performing", T142&lt;=30, "Watch", T142&lt;=90, "Substandard", T142&gt;90, "Non-Performing")</f>
        <v>Performing</v>
      </c>
      <c r="F142" t="s">
        <v>679</v>
      </c>
      <c r="I142" t="s">
        <v>691</v>
      </c>
      <c r="J142" s="20">
        <v>44320</v>
      </c>
      <c r="K142">
        <f t="shared" si="12"/>
        <v>0</v>
      </c>
      <c r="L142" s="22">
        <v>44237</v>
      </c>
      <c r="M142" s="28">
        <f t="shared" ca="1" si="13"/>
        <v>0</v>
      </c>
      <c r="N142">
        <v>6</v>
      </c>
      <c r="O142" s="26">
        <f t="shared" si="14"/>
        <v>44504</v>
      </c>
      <c r="P142">
        <v>17000000</v>
      </c>
      <c r="Q142">
        <v>23.9</v>
      </c>
      <c r="R142">
        <v>8000000</v>
      </c>
      <c r="S142" t="s">
        <v>667</v>
      </c>
      <c r="T142">
        <v>0</v>
      </c>
      <c r="U142">
        <v>0</v>
      </c>
      <c r="V142" t="s">
        <v>736</v>
      </c>
    </row>
    <row r="143" spans="1:22" x14ac:dyDescent="0.25">
      <c r="A143" t="s">
        <v>867</v>
      </c>
      <c r="B143" t="s">
        <v>287</v>
      </c>
      <c r="C143" t="s">
        <v>73</v>
      </c>
      <c r="D143" t="s">
        <v>664</v>
      </c>
      <c r="E143" t="str" cm="1">
        <f t="array" ref="E143">_xlfn.IFS(T143=0, "Performing", T143&lt;=30, "Watch", T143&lt;=90, "Substandard", T143&gt;90, "Non-Performing")</f>
        <v>Performing</v>
      </c>
      <c r="F143" t="s">
        <v>679</v>
      </c>
      <c r="I143" t="s">
        <v>695</v>
      </c>
      <c r="J143" s="20">
        <v>44319</v>
      </c>
      <c r="K143">
        <f t="shared" si="12"/>
        <v>21</v>
      </c>
      <c r="L143" s="22">
        <v>44980</v>
      </c>
      <c r="M143" s="28">
        <f t="shared" ca="1" si="13"/>
        <v>0</v>
      </c>
      <c r="N143">
        <v>24</v>
      </c>
      <c r="O143" s="26">
        <f t="shared" si="14"/>
        <v>45049</v>
      </c>
      <c r="P143">
        <v>11000000</v>
      </c>
      <c r="Q143">
        <v>24.5</v>
      </c>
      <c r="R143">
        <v>8000000</v>
      </c>
      <c r="S143" t="s">
        <v>692</v>
      </c>
      <c r="T143">
        <v>0</v>
      </c>
      <c r="U143">
        <v>71</v>
      </c>
    </row>
    <row r="144" spans="1:22" x14ac:dyDescent="0.25">
      <c r="A144" t="s">
        <v>706</v>
      </c>
      <c r="B144" t="s">
        <v>402</v>
      </c>
      <c r="C144" t="s">
        <v>60</v>
      </c>
      <c r="D144" t="s">
        <v>707</v>
      </c>
      <c r="E144" t="str" cm="1">
        <f t="array" ref="E144">_xlfn.IFS(T144=0, "Performing", T144&lt;=30, "Watch", T144&lt;=90, "Substandard", T144&gt;90, "Non-Performing")</f>
        <v>Performing</v>
      </c>
      <c r="F144" t="s">
        <v>659</v>
      </c>
      <c r="I144" t="s">
        <v>683</v>
      </c>
      <c r="J144" s="20">
        <v>45253</v>
      </c>
      <c r="K144">
        <f t="shared" si="12"/>
        <v>59</v>
      </c>
      <c r="L144" s="22">
        <v>47053</v>
      </c>
      <c r="M144" s="28">
        <f t="shared" ca="1" si="13"/>
        <v>900</v>
      </c>
      <c r="N144">
        <v>60</v>
      </c>
      <c r="O144" s="26">
        <f t="shared" si="14"/>
        <v>47080</v>
      </c>
      <c r="P144">
        <v>8000000</v>
      </c>
      <c r="Q144">
        <v>17.8</v>
      </c>
      <c r="R144">
        <v>7000000</v>
      </c>
      <c r="S144" t="s">
        <v>692</v>
      </c>
      <c r="T144">
        <v>0</v>
      </c>
      <c r="U144">
        <v>58</v>
      </c>
      <c r="V144" t="s">
        <v>662</v>
      </c>
    </row>
    <row r="145" spans="1:22" x14ac:dyDescent="0.25">
      <c r="A145" t="s">
        <v>785</v>
      </c>
      <c r="B145" t="s">
        <v>571</v>
      </c>
      <c r="C145" t="s">
        <v>53</v>
      </c>
      <c r="D145" t="s">
        <v>682</v>
      </c>
      <c r="E145" t="str" cm="1">
        <f t="array" ref="E145">_xlfn.IFS(T145=0, "Performing", T145&lt;=30, "Watch", T145&lt;=90, "Substandard", T145&gt;90, "Non-Performing")</f>
        <v>Performing</v>
      </c>
      <c r="F145" t="s">
        <v>694</v>
      </c>
      <c r="I145" t="s">
        <v>674</v>
      </c>
      <c r="J145" s="20">
        <v>44471</v>
      </c>
      <c r="K145">
        <f t="shared" si="12"/>
        <v>17</v>
      </c>
      <c r="L145" s="22">
        <v>45011</v>
      </c>
      <c r="M145" s="28">
        <f t="shared" ca="1" si="13"/>
        <v>0</v>
      </c>
      <c r="N145">
        <v>18</v>
      </c>
      <c r="O145" s="26">
        <f t="shared" si="14"/>
        <v>45018</v>
      </c>
      <c r="P145">
        <v>8000000</v>
      </c>
      <c r="Q145">
        <v>16.600000000000001</v>
      </c>
      <c r="R145">
        <v>7000000</v>
      </c>
      <c r="S145" t="s">
        <v>667</v>
      </c>
      <c r="T145">
        <v>0</v>
      </c>
      <c r="U145">
        <v>0</v>
      </c>
      <c r="V145" t="s">
        <v>716</v>
      </c>
    </row>
    <row r="146" spans="1:22" x14ac:dyDescent="0.25">
      <c r="A146" t="s">
        <v>815</v>
      </c>
      <c r="B146" t="s">
        <v>361</v>
      </c>
      <c r="C146" t="s">
        <v>73</v>
      </c>
      <c r="D146" t="s">
        <v>752</v>
      </c>
      <c r="E146" t="str" cm="1">
        <f t="array" ref="E146">_xlfn.IFS(T146=0, "Performing", T146&lt;=30, "Watch", T146&lt;=90, "Substandard", T146&gt;90, "Non-Performing")</f>
        <v>Performing</v>
      </c>
      <c r="F146" t="s">
        <v>659</v>
      </c>
      <c r="I146" t="s">
        <v>712</v>
      </c>
      <c r="J146" s="20">
        <v>44981</v>
      </c>
      <c r="K146">
        <f t="shared" si="12"/>
        <v>11</v>
      </c>
      <c r="L146" s="22">
        <v>45341</v>
      </c>
      <c r="M146" s="28">
        <f t="shared" ca="1" si="13"/>
        <v>0</v>
      </c>
      <c r="N146">
        <v>12</v>
      </c>
      <c r="O146" s="26">
        <f t="shared" si="14"/>
        <v>45346</v>
      </c>
      <c r="P146">
        <v>27000000</v>
      </c>
      <c r="Q146">
        <v>22.8</v>
      </c>
      <c r="R146">
        <v>6000000</v>
      </c>
      <c r="S146" t="s">
        <v>692</v>
      </c>
      <c r="T146">
        <v>0</v>
      </c>
      <c r="U146">
        <v>55</v>
      </c>
      <c r="V146" t="s">
        <v>702</v>
      </c>
    </row>
    <row r="147" spans="1:22" x14ac:dyDescent="0.25">
      <c r="A147" t="s">
        <v>762</v>
      </c>
      <c r="B147" t="s">
        <v>635</v>
      </c>
      <c r="C147" t="s">
        <v>73</v>
      </c>
      <c r="D147" t="s">
        <v>686</v>
      </c>
      <c r="E147" t="str" cm="1">
        <f t="array" ref="E147">_xlfn.IFS(T147=0, "Performing", T147&lt;=30, "Watch", T147&lt;=90, "Substandard", T147&gt;90, "Non-Performing")</f>
        <v>Performing</v>
      </c>
      <c r="F147" t="s">
        <v>659</v>
      </c>
      <c r="I147" t="s">
        <v>680</v>
      </c>
      <c r="J147" s="20">
        <v>44587</v>
      </c>
      <c r="K147">
        <f t="shared" si="12"/>
        <v>5</v>
      </c>
      <c r="L147" s="22">
        <v>44767</v>
      </c>
      <c r="M147" s="28">
        <f t="shared" ca="1" si="13"/>
        <v>0</v>
      </c>
      <c r="N147">
        <v>6</v>
      </c>
      <c r="O147" s="26">
        <f t="shared" si="14"/>
        <v>44768</v>
      </c>
      <c r="P147">
        <v>18000000</v>
      </c>
      <c r="Q147" t="s">
        <v>763</v>
      </c>
      <c r="R147">
        <v>5000000</v>
      </c>
      <c r="S147" t="s">
        <v>692</v>
      </c>
      <c r="T147">
        <v>0</v>
      </c>
      <c r="U147">
        <v>66</v>
      </c>
      <c r="V147" t="s">
        <v>736</v>
      </c>
    </row>
    <row r="148" spans="1:22" x14ac:dyDescent="0.25">
      <c r="A148" t="s">
        <v>847</v>
      </c>
      <c r="B148" t="s">
        <v>388</v>
      </c>
      <c r="C148" t="s">
        <v>53</v>
      </c>
      <c r="D148" t="s">
        <v>664</v>
      </c>
      <c r="E148" t="str" cm="1">
        <f t="array" ref="E148">_xlfn.IFS(T148=0, "Performing", T148&lt;=30, "Watch", T148&lt;=90, "Substandard", T148&gt;90, "Non-Performing")</f>
        <v>Performing</v>
      </c>
      <c r="F148" t="s">
        <v>768</v>
      </c>
      <c r="I148" t="s">
        <v>660</v>
      </c>
      <c r="J148" s="20">
        <v>44420</v>
      </c>
      <c r="K148">
        <f t="shared" si="12"/>
        <v>9</v>
      </c>
      <c r="L148" s="22">
        <v>44718</v>
      </c>
      <c r="M148" s="28">
        <f t="shared" ca="1" si="13"/>
        <v>0</v>
      </c>
      <c r="N148">
        <v>6</v>
      </c>
      <c r="O148" s="26">
        <f t="shared" si="14"/>
        <v>44604</v>
      </c>
      <c r="P148">
        <v>9000000</v>
      </c>
      <c r="Q148">
        <v>15.5</v>
      </c>
      <c r="R148">
        <v>5000000</v>
      </c>
      <c r="S148" t="s">
        <v>692</v>
      </c>
      <c r="T148">
        <v>0</v>
      </c>
      <c r="U148">
        <v>67</v>
      </c>
      <c r="V148" t="s">
        <v>688</v>
      </c>
    </row>
    <row r="149" spans="1:22" x14ac:dyDescent="0.25">
      <c r="A149" t="s">
        <v>726</v>
      </c>
      <c r="B149" t="s">
        <v>514</v>
      </c>
      <c r="C149" t="s">
        <v>73</v>
      </c>
      <c r="D149" t="s">
        <v>673</v>
      </c>
      <c r="E149" t="str" cm="1">
        <f t="array" ref="E149">_xlfn.IFS(T149=0, "Performing", T149&lt;=30, "Watch", T149&lt;=90, "Substandard", T149&gt;90, "Non-Performing")</f>
        <v>Watch</v>
      </c>
      <c r="F149" t="s">
        <v>659</v>
      </c>
      <c r="I149" t="s">
        <v>727</v>
      </c>
      <c r="J149" s="20">
        <v>44202</v>
      </c>
      <c r="K149">
        <f t="shared" si="12"/>
        <v>28</v>
      </c>
      <c r="L149" s="22">
        <v>45068</v>
      </c>
      <c r="M149" s="28">
        <f t="shared" ca="1" si="13"/>
        <v>0</v>
      </c>
      <c r="N149">
        <v>24</v>
      </c>
      <c r="O149" s="26">
        <f t="shared" si="14"/>
        <v>44932</v>
      </c>
      <c r="P149">
        <v>12000000</v>
      </c>
      <c r="Q149">
        <v>25.3</v>
      </c>
      <c r="R149">
        <v>4000000</v>
      </c>
      <c r="S149" t="s">
        <v>661</v>
      </c>
      <c r="T149">
        <v>1</v>
      </c>
      <c r="U149">
        <v>157</v>
      </c>
      <c r="V149" t="s">
        <v>714</v>
      </c>
    </row>
    <row r="150" spans="1:22" x14ac:dyDescent="0.25">
      <c r="A150" t="s">
        <v>759</v>
      </c>
      <c r="B150" t="s">
        <v>306</v>
      </c>
      <c r="C150" t="s">
        <v>60</v>
      </c>
      <c r="D150" t="s">
        <v>673</v>
      </c>
      <c r="E150" t="str" cm="1">
        <f t="array" ref="E150">_xlfn.IFS(T150=0, "Performing", T150&lt;=30, "Watch", T150&lt;=90, "Substandard", T150&gt;90, "Non-Performing")</f>
        <v>Performing</v>
      </c>
      <c r="F150" t="s">
        <v>760</v>
      </c>
      <c r="I150" t="s">
        <v>727</v>
      </c>
      <c r="J150" s="20">
        <v>45264</v>
      </c>
      <c r="K150">
        <f t="shared" si="12"/>
        <v>11</v>
      </c>
      <c r="L150" s="22">
        <v>45624</v>
      </c>
      <c r="M150" s="28">
        <f t="shared" ca="1" si="13"/>
        <v>0</v>
      </c>
      <c r="N150">
        <v>12</v>
      </c>
      <c r="O150" s="26">
        <f t="shared" si="14"/>
        <v>45630</v>
      </c>
      <c r="P150">
        <v>27000000</v>
      </c>
      <c r="Q150">
        <v>21.8</v>
      </c>
      <c r="R150">
        <v>4000000</v>
      </c>
      <c r="S150" t="s">
        <v>692</v>
      </c>
      <c r="T150">
        <v>0</v>
      </c>
      <c r="U150">
        <v>89</v>
      </c>
      <c r="V150" t="s">
        <v>668</v>
      </c>
    </row>
    <row r="151" spans="1:22" x14ac:dyDescent="0.25">
      <c r="A151" t="s">
        <v>773</v>
      </c>
      <c r="B151" t="s">
        <v>498</v>
      </c>
      <c r="C151" t="s">
        <v>67</v>
      </c>
      <c r="D151" t="s">
        <v>670</v>
      </c>
      <c r="E151" t="str" cm="1">
        <f t="array" ref="E151">_xlfn.IFS(T151=0, "Performing", T151&lt;=30, "Watch", T151&lt;=90, "Substandard", T151&gt;90, "Non-Performing")</f>
        <v>Performing</v>
      </c>
      <c r="F151" t="s">
        <v>694</v>
      </c>
      <c r="I151" t="s">
        <v>712</v>
      </c>
      <c r="J151" s="20">
        <v>44701</v>
      </c>
      <c r="K151">
        <f t="shared" si="12"/>
        <v>47</v>
      </c>
      <c r="L151" s="22">
        <v>46141</v>
      </c>
      <c r="M151" s="28">
        <f t="shared" ca="1" si="13"/>
        <v>0</v>
      </c>
      <c r="N151">
        <v>48</v>
      </c>
      <c r="O151" s="26">
        <f t="shared" si="14"/>
        <v>46162</v>
      </c>
      <c r="P151">
        <v>5000000</v>
      </c>
      <c r="Q151">
        <v>19.3</v>
      </c>
      <c r="R151">
        <v>4000000</v>
      </c>
      <c r="S151" t="s">
        <v>667</v>
      </c>
      <c r="T151">
        <v>0</v>
      </c>
      <c r="U151">
        <v>0</v>
      </c>
    </row>
    <row r="152" spans="1:22" x14ac:dyDescent="0.25">
      <c r="A152" t="s">
        <v>800</v>
      </c>
      <c r="B152" t="s">
        <v>136</v>
      </c>
      <c r="C152" t="s">
        <v>53</v>
      </c>
      <c r="D152" t="s">
        <v>658</v>
      </c>
      <c r="E152" t="str" cm="1">
        <f t="array" ref="E152">_xlfn.IFS(T152=0, "Performing", T152&lt;=30, "Watch", T152&lt;=90, "Substandard", T152&gt;90, "Non-Performing")</f>
        <v>Watch</v>
      </c>
      <c r="F152" t="s">
        <v>687</v>
      </c>
      <c r="I152" t="s">
        <v>674</v>
      </c>
      <c r="J152" s="20">
        <v>44222</v>
      </c>
      <c r="K152">
        <f t="shared" si="12"/>
        <v>51</v>
      </c>
      <c r="L152" s="22">
        <v>45778</v>
      </c>
      <c r="M152" s="28">
        <f t="shared" ca="1" si="13"/>
        <v>0</v>
      </c>
      <c r="N152">
        <v>48</v>
      </c>
      <c r="O152" s="26">
        <f t="shared" si="14"/>
        <v>45683</v>
      </c>
      <c r="P152">
        <v>9000000</v>
      </c>
      <c r="Q152">
        <v>20.9</v>
      </c>
      <c r="R152">
        <v>4000000</v>
      </c>
      <c r="S152" t="s">
        <v>661</v>
      </c>
      <c r="T152">
        <v>1</v>
      </c>
      <c r="U152">
        <v>356</v>
      </c>
      <c r="V152" t="s">
        <v>668</v>
      </c>
    </row>
    <row r="153" spans="1:22" x14ac:dyDescent="0.25">
      <c r="A153" t="s">
        <v>834</v>
      </c>
      <c r="B153" t="s">
        <v>361</v>
      </c>
      <c r="C153" t="s">
        <v>25</v>
      </c>
      <c r="D153" t="s">
        <v>658</v>
      </c>
      <c r="E153" t="str" cm="1">
        <f t="array" ref="E153">_xlfn.IFS(T153=0, "Performing", T153&lt;=30, "Watch", T153&lt;=90, "Substandard", T153&gt;90, "Non-Performing")</f>
        <v>Watch</v>
      </c>
      <c r="F153" t="s">
        <v>718</v>
      </c>
      <c r="I153" t="s">
        <v>691</v>
      </c>
      <c r="J153" s="20">
        <v>44467</v>
      </c>
      <c r="K153">
        <f t="shared" si="12"/>
        <v>45</v>
      </c>
      <c r="L153" s="22">
        <v>45847</v>
      </c>
      <c r="M153" s="28">
        <f t="shared" ca="1" si="13"/>
        <v>0</v>
      </c>
      <c r="N153">
        <v>48</v>
      </c>
      <c r="O153" s="26">
        <f t="shared" si="14"/>
        <v>45928</v>
      </c>
      <c r="P153">
        <v>12000000</v>
      </c>
      <c r="Q153">
        <v>17.5</v>
      </c>
      <c r="R153">
        <v>4000000</v>
      </c>
      <c r="S153" t="s">
        <v>661</v>
      </c>
      <c r="T153">
        <v>1</v>
      </c>
      <c r="U153">
        <v>372</v>
      </c>
      <c r="V153" t="s">
        <v>716</v>
      </c>
    </row>
    <row r="154" spans="1:22" x14ac:dyDescent="0.25">
      <c r="A154" t="s">
        <v>877</v>
      </c>
      <c r="B154" t="s">
        <v>187</v>
      </c>
      <c r="C154" t="s">
        <v>39</v>
      </c>
      <c r="D154" t="s">
        <v>678</v>
      </c>
      <c r="E154" t="str" cm="1">
        <f t="array" ref="E154">_xlfn.IFS(T154=0, "Performing", T154&lt;=30, "Watch", T154&lt;=90, "Substandard", T154&gt;90, "Non-Performing")</f>
        <v>Watch</v>
      </c>
      <c r="F154" t="s">
        <v>665</v>
      </c>
      <c r="I154" t="s">
        <v>745</v>
      </c>
      <c r="J154" s="20">
        <v>45369</v>
      </c>
      <c r="K154">
        <f t="shared" si="12"/>
        <v>11</v>
      </c>
      <c r="L154" s="22">
        <v>45729</v>
      </c>
      <c r="M154" s="28">
        <f t="shared" ca="1" si="13"/>
        <v>0</v>
      </c>
      <c r="N154">
        <v>12</v>
      </c>
      <c r="O154" s="26">
        <f t="shared" si="14"/>
        <v>45734</v>
      </c>
      <c r="P154">
        <v>4000000</v>
      </c>
      <c r="Q154">
        <v>21.2</v>
      </c>
      <c r="R154">
        <v>4000000</v>
      </c>
      <c r="S154" t="s">
        <v>684</v>
      </c>
      <c r="T154">
        <v>1</v>
      </c>
      <c r="U154">
        <v>704</v>
      </c>
      <c r="V154" t="s">
        <v>676</v>
      </c>
    </row>
    <row r="155" spans="1:22" x14ac:dyDescent="0.25">
      <c r="A155" t="s">
        <v>884</v>
      </c>
      <c r="B155" t="s">
        <v>419</v>
      </c>
      <c r="C155" t="s">
        <v>46</v>
      </c>
      <c r="D155" t="s">
        <v>682</v>
      </c>
      <c r="E155" t="str" cm="1">
        <f t="array" ref="E155">_xlfn.IFS(T155=0, "Performing", T155&lt;=30, "Watch", T155&lt;=90, "Substandard", T155&gt;90, "Non-Performing")</f>
        <v>Watch</v>
      </c>
      <c r="F155" t="s">
        <v>687</v>
      </c>
      <c r="I155" t="s">
        <v>695</v>
      </c>
      <c r="J155" s="20">
        <v>44270</v>
      </c>
      <c r="K155">
        <f t="shared" si="12"/>
        <v>14</v>
      </c>
      <c r="L155" s="22">
        <v>44721</v>
      </c>
      <c r="M155" s="28">
        <f t="shared" ca="1" si="13"/>
        <v>0</v>
      </c>
      <c r="N155">
        <v>18</v>
      </c>
      <c r="O155" s="26">
        <f t="shared" si="14"/>
        <v>44819</v>
      </c>
      <c r="P155">
        <v>16000000</v>
      </c>
      <c r="Q155">
        <v>15.2</v>
      </c>
      <c r="R155">
        <v>4000000</v>
      </c>
      <c r="S155" t="s">
        <v>661</v>
      </c>
      <c r="T155">
        <v>1</v>
      </c>
      <c r="U155">
        <v>452</v>
      </c>
    </row>
    <row r="156" spans="1:22" x14ac:dyDescent="0.25">
      <c r="A156" t="s">
        <v>912</v>
      </c>
      <c r="B156" t="s">
        <v>310</v>
      </c>
      <c r="C156" t="s">
        <v>73</v>
      </c>
      <c r="D156" t="s">
        <v>678</v>
      </c>
      <c r="E156" t="str" cm="1">
        <f t="array" ref="E156">_xlfn.IFS(T156=0, "Performing", T156&lt;=30, "Watch", T156&lt;=90, "Substandard", T156&gt;90, "Non-Performing")</f>
        <v>Performing</v>
      </c>
      <c r="F156" t="s">
        <v>111</v>
      </c>
      <c r="I156" t="s">
        <v>683</v>
      </c>
      <c r="J156" s="20">
        <v>45377</v>
      </c>
      <c r="K156">
        <f t="shared" si="12"/>
        <v>59</v>
      </c>
      <c r="L156" s="22">
        <v>47177</v>
      </c>
      <c r="M156" s="28">
        <f t="shared" ca="1" si="13"/>
        <v>1024</v>
      </c>
      <c r="N156">
        <v>60</v>
      </c>
      <c r="O156" s="26">
        <f t="shared" si="14"/>
        <v>47203</v>
      </c>
      <c r="P156">
        <v>7000000</v>
      </c>
      <c r="Q156">
        <v>24.2</v>
      </c>
      <c r="R156">
        <v>4000000</v>
      </c>
      <c r="S156" t="s">
        <v>692</v>
      </c>
      <c r="T156">
        <v>0</v>
      </c>
      <c r="U156">
        <v>80</v>
      </c>
      <c r="V156" t="s">
        <v>676</v>
      </c>
    </row>
    <row r="157" spans="1:22" x14ac:dyDescent="0.25">
      <c r="A157" t="s">
        <v>758</v>
      </c>
      <c r="B157" t="s">
        <v>555</v>
      </c>
      <c r="C157" t="s">
        <v>25</v>
      </c>
      <c r="D157" t="s">
        <v>673</v>
      </c>
      <c r="E157" t="str" cm="1">
        <f t="array" ref="E157">_xlfn.IFS(T157=0, "Performing", T157&lt;=30, "Watch", T157&lt;=90, "Substandard", T157&gt;90, "Non-Performing")</f>
        <v>Watch</v>
      </c>
      <c r="F157" t="s">
        <v>711</v>
      </c>
      <c r="I157" t="s">
        <v>674</v>
      </c>
      <c r="J157" s="20">
        <v>44403</v>
      </c>
      <c r="K157">
        <f t="shared" si="12"/>
        <v>38</v>
      </c>
      <c r="L157" s="22">
        <v>45572</v>
      </c>
      <c r="M157" s="28">
        <f t="shared" ca="1" si="13"/>
        <v>0</v>
      </c>
      <c r="N157">
        <v>36</v>
      </c>
      <c r="O157" s="26">
        <f t="shared" si="14"/>
        <v>45499</v>
      </c>
      <c r="P157">
        <v>3000000</v>
      </c>
      <c r="Q157">
        <v>24.4</v>
      </c>
      <c r="R157">
        <v>3000000</v>
      </c>
      <c r="S157" t="s">
        <v>684</v>
      </c>
      <c r="T157">
        <v>1</v>
      </c>
      <c r="U157">
        <v>540</v>
      </c>
      <c r="V157" t="s">
        <v>736</v>
      </c>
    </row>
    <row r="158" spans="1:22" x14ac:dyDescent="0.25">
      <c r="A158" t="s">
        <v>729</v>
      </c>
      <c r="B158" t="s">
        <v>306</v>
      </c>
      <c r="C158" t="s">
        <v>33</v>
      </c>
      <c r="D158" t="s">
        <v>690</v>
      </c>
      <c r="E158" t="str" cm="1">
        <f t="array" ref="E158">_xlfn.IFS(T158=0, "Performing", T158&lt;=30, "Watch", T158&lt;=90, "Substandard", T158&gt;90, "Non-Performing")</f>
        <v>Performing</v>
      </c>
      <c r="F158" t="s">
        <v>111</v>
      </c>
      <c r="I158" t="s">
        <v>695</v>
      </c>
      <c r="J158" s="20">
        <v>45256</v>
      </c>
      <c r="K158">
        <f t="shared" si="12"/>
        <v>17</v>
      </c>
      <c r="L158" s="22">
        <v>45796</v>
      </c>
      <c r="M158" s="28">
        <f t="shared" ca="1" si="13"/>
        <v>0</v>
      </c>
      <c r="N158">
        <v>18</v>
      </c>
      <c r="O158" s="26">
        <f t="shared" si="14"/>
        <v>45803</v>
      </c>
      <c r="P158">
        <v>9000000</v>
      </c>
      <c r="Q158">
        <v>20.100000000000001</v>
      </c>
      <c r="R158">
        <v>2000000</v>
      </c>
      <c r="S158" t="s">
        <v>720</v>
      </c>
      <c r="T158">
        <v>0</v>
      </c>
      <c r="U158">
        <v>0</v>
      </c>
      <c r="V158" t="s">
        <v>714</v>
      </c>
    </row>
    <row r="159" spans="1:22" x14ac:dyDescent="0.25">
      <c r="A159" t="s">
        <v>739</v>
      </c>
      <c r="B159" t="s">
        <v>466</v>
      </c>
      <c r="C159" t="s">
        <v>73</v>
      </c>
      <c r="E159" t="str" cm="1">
        <f t="array" ref="E159">_xlfn.IFS(T159=0, "Performing", T159&lt;=30, "Watch", T159&lt;=90, "Substandard", T159&gt;90, "Non-Performing")</f>
        <v>Performing</v>
      </c>
      <c r="F159" t="s">
        <v>694</v>
      </c>
      <c r="I159" t="s">
        <v>666</v>
      </c>
      <c r="J159" s="20">
        <v>44899</v>
      </c>
      <c r="K159">
        <f t="shared" si="12"/>
        <v>39</v>
      </c>
      <c r="L159" s="22">
        <v>46103</v>
      </c>
      <c r="M159" s="28">
        <f t="shared" ca="1" si="13"/>
        <v>0</v>
      </c>
      <c r="N159">
        <v>48</v>
      </c>
      <c r="O159" s="26">
        <f t="shared" si="14"/>
        <v>46360</v>
      </c>
      <c r="P159">
        <v>4000000</v>
      </c>
      <c r="Q159" t="s">
        <v>740</v>
      </c>
      <c r="R159">
        <v>2000000</v>
      </c>
      <c r="S159" t="s">
        <v>667</v>
      </c>
      <c r="T159">
        <v>0</v>
      </c>
      <c r="U159">
        <v>0</v>
      </c>
      <c r="V159" t="s">
        <v>716</v>
      </c>
    </row>
    <row r="160" spans="1:22" x14ac:dyDescent="0.25">
      <c r="A160" t="s">
        <v>771</v>
      </c>
      <c r="B160" t="s">
        <v>124</v>
      </c>
      <c r="C160" t="s">
        <v>33</v>
      </c>
      <c r="D160" t="s">
        <v>658</v>
      </c>
      <c r="E160" t="str" cm="1">
        <f t="array" ref="E160">_xlfn.IFS(T160=0, "Performing", T160&lt;=30, "Watch", T160&lt;=90, "Substandard", T160&gt;90, "Non-Performing")</f>
        <v>Performing</v>
      </c>
      <c r="F160" t="s">
        <v>760</v>
      </c>
      <c r="I160" t="s">
        <v>680</v>
      </c>
      <c r="J160" s="20">
        <v>45351</v>
      </c>
      <c r="K160">
        <f t="shared" si="12"/>
        <v>53</v>
      </c>
      <c r="L160" s="22">
        <v>46967</v>
      </c>
      <c r="M160" s="28">
        <f t="shared" ca="1" si="13"/>
        <v>814</v>
      </c>
      <c r="N160">
        <v>48</v>
      </c>
      <c r="O160" s="26">
        <f t="shared" si="14"/>
        <v>46812</v>
      </c>
      <c r="P160">
        <v>3000000</v>
      </c>
      <c r="Q160">
        <v>27.5</v>
      </c>
      <c r="R160">
        <v>2000000</v>
      </c>
      <c r="S160" t="s">
        <v>692</v>
      </c>
      <c r="T160">
        <v>0</v>
      </c>
      <c r="U160">
        <v>83</v>
      </c>
      <c r="V160" t="s">
        <v>716</v>
      </c>
    </row>
    <row r="161" spans="1:22" x14ac:dyDescent="0.25">
      <c r="A161" t="s">
        <v>772</v>
      </c>
      <c r="B161" t="s">
        <v>539</v>
      </c>
      <c r="C161" t="s">
        <v>39</v>
      </c>
      <c r="D161" t="s">
        <v>722</v>
      </c>
      <c r="E161" t="str" cm="1">
        <f t="array" ref="E161">_xlfn.IFS(T161=0, "Performing", T161&lt;=30, "Watch", T161&lt;=90, "Substandard", T161&gt;90, "Non-Performing")</f>
        <v>Performing</v>
      </c>
      <c r="F161" t="s">
        <v>659</v>
      </c>
      <c r="I161" t="s">
        <v>680</v>
      </c>
      <c r="J161" s="20">
        <v>44846</v>
      </c>
      <c r="K161">
        <f t="shared" si="12"/>
        <v>9</v>
      </c>
      <c r="L161" s="22">
        <v>45144</v>
      </c>
      <c r="M161" s="28">
        <f t="shared" ca="1" si="13"/>
        <v>0</v>
      </c>
      <c r="N161">
        <v>6</v>
      </c>
      <c r="O161" s="26">
        <f t="shared" si="14"/>
        <v>45028</v>
      </c>
      <c r="P161">
        <v>7000000</v>
      </c>
      <c r="Q161">
        <v>18.8</v>
      </c>
      <c r="R161">
        <v>1000000</v>
      </c>
      <c r="S161" t="s">
        <v>692</v>
      </c>
      <c r="T161">
        <v>0</v>
      </c>
      <c r="U161">
        <v>56</v>
      </c>
      <c r="V161" t="s">
        <v>702</v>
      </c>
    </row>
    <row r="162" spans="1:22" x14ac:dyDescent="0.25">
      <c r="A162" t="s">
        <v>819</v>
      </c>
      <c r="B162" t="s">
        <v>235</v>
      </c>
      <c r="C162" t="s">
        <v>39</v>
      </c>
      <c r="D162" t="s">
        <v>686</v>
      </c>
      <c r="E162" t="str" cm="1">
        <f t="array" ref="E162">_xlfn.IFS(T162=0, "Performing", T162&lt;=30, "Watch", T162&lt;=90, "Substandard", T162&gt;90, "Non-Performing")</f>
        <v>Watch</v>
      </c>
      <c r="F162" t="s">
        <v>687</v>
      </c>
      <c r="I162" t="s">
        <v>698</v>
      </c>
      <c r="J162" s="20">
        <v>44232</v>
      </c>
      <c r="K162">
        <f t="shared" ref="K162:K193" si="15">IF(J162 &gt; L162, 0, DATEDIF(J162, L162, "m"))</f>
        <v>8</v>
      </c>
      <c r="L162" s="22">
        <v>44498</v>
      </c>
      <c r="M162" s="28">
        <f t="shared" ref="M162:M193" ca="1" si="16">MAX(0, L162 - TODAY())</f>
        <v>0</v>
      </c>
      <c r="N162">
        <v>6</v>
      </c>
      <c r="O162" s="26">
        <f t="shared" ref="O162:O193" si="17">EDATE(J162, N162)</f>
        <v>44413</v>
      </c>
      <c r="P162">
        <v>10000000</v>
      </c>
      <c r="Q162">
        <v>25.9</v>
      </c>
      <c r="R162">
        <v>1000000</v>
      </c>
      <c r="S162" t="s">
        <v>661</v>
      </c>
      <c r="T162">
        <v>1</v>
      </c>
      <c r="U162">
        <v>473</v>
      </c>
      <c r="V162" t="s">
        <v>716</v>
      </c>
    </row>
    <row r="163" spans="1:22" x14ac:dyDescent="0.25">
      <c r="A163" t="s">
        <v>925</v>
      </c>
      <c r="B163" t="s">
        <v>526</v>
      </c>
      <c r="C163" t="s">
        <v>60</v>
      </c>
      <c r="D163" t="s">
        <v>678</v>
      </c>
      <c r="E163" t="str" cm="1">
        <f t="array" ref="E163">_xlfn.IFS(T163=0, "Performing", T163&lt;=30, "Watch", T163&lt;=90, "Substandard", T163&gt;90, "Non-Performing")</f>
        <v>Performing</v>
      </c>
      <c r="F163" t="s">
        <v>679</v>
      </c>
      <c r="I163" t="s">
        <v>691</v>
      </c>
      <c r="J163" s="20">
        <v>45167</v>
      </c>
      <c r="K163">
        <f t="shared" si="15"/>
        <v>11</v>
      </c>
      <c r="L163" s="22">
        <v>45527</v>
      </c>
      <c r="M163" s="28">
        <f t="shared" ca="1" si="16"/>
        <v>0</v>
      </c>
      <c r="N163">
        <v>12</v>
      </c>
      <c r="O163" s="26">
        <f t="shared" si="17"/>
        <v>45533</v>
      </c>
      <c r="P163">
        <v>11000000</v>
      </c>
      <c r="Q163">
        <v>19.7</v>
      </c>
      <c r="R163">
        <v>1000000</v>
      </c>
      <c r="S163" t="s">
        <v>720</v>
      </c>
      <c r="T163">
        <v>0</v>
      </c>
      <c r="U163">
        <v>0</v>
      </c>
    </row>
    <row r="164" spans="1:22" x14ac:dyDescent="0.25">
      <c r="A164" t="s">
        <v>932</v>
      </c>
      <c r="B164" t="s">
        <v>89</v>
      </c>
      <c r="C164" t="s">
        <v>53</v>
      </c>
      <c r="D164" t="s">
        <v>752</v>
      </c>
      <c r="E164" t="str" cm="1">
        <f t="array" ref="E164">_xlfn.IFS(T164=0, "Performing", T164&lt;=30, "Watch", T164&lt;=90, "Substandard", T164&gt;90, "Non-Performing")</f>
        <v>Performing</v>
      </c>
      <c r="F164" t="s">
        <v>111</v>
      </c>
      <c r="I164" t="s">
        <v>691</v>
      </c>
      <c r="J164" s="20">
        <v>45218</v>
      </c>
      <c r="K164">
        <f t="shared" si="15"/>
        <v>28</v>
      </c>
      <c r="L164" s="22">
        <v>46091</v>
      </c>
      <c r="M164" s="28">
        <f t="shared" ca="1" si="16"/>
        <v>0</v>
      </c>
      <c r="N164">
        <v>36</v>
      </c>
      <c r="O164" s="26">
        <f t="shared" si="17"/>
        <v>46314</v>
      </c>
      <c r="P164">
        <v>1000000</v>
      </c>
      <c r="Q164">
        <v>17</v>
      </c>
      <c r="R164">
        <v>1000000</v>
      </c>
      <c r="S164" t="s">
        <v>667</v>
      </c>
      <c r="T164">
        <v>0</v>
      </c>
      <c r="U164">
        <v>0</v>
      </c>
    </row>
    <row r="165" spans="1:22" x14ac:dyDescent="0.25">
      <c r="A165" t="s">
        <v>703</v>
      </c>
      <c r="B165" t="s">
        <v>148</v>
      </c>
      <c r="C165" t="s">
        <v>53</v>
      </c>
      <c r="D165" t="s">
        <v>670</v>
      </c>
      <c r="E165" t="str" cm="1">
        <f t="array" ref="E165">_xlfn.IFS(T165=0, "Performing", T165&lt;=30, "Watch", T165&lt;=90, "Substandard", T165&gt;90, "Non-Performing")</f>
        <v>Performing</v>
      </c>
      <c r="F165" t="s">
        <v>665</v>
      </c>
      <c r="I165" t="s">
        <v>680</v>
      </c>
      <c r="J165" s="20">
        <v>45275</v>
      </c>
      <c r="K165">
        <f t="shared" si="15"/>
        <v>11</v>
      </c>
      <c r="L165" s="22">
        <v>45632</v>
      </c>
      <c r="M165" s="28">
        <f t="shared" ca="1" si="16"/>
        <v>0</v>
      </c>
      <c r="N165">
        <v>6</v>
      </c>
      <c r="O165" s="26">
        <f t="shared" si="17"/>
        <v>45458</v>
      </c>
      <c r="P165">
        <v>1573000000</v>
      </c>
      <c r="Q165">
        <v>19.3</v>
      </c>
      <c r="R165">
        <v>0</v>
      </c>
      <c r="S165" t="s">
        <v>704</v>
      </c>
      <c r="T165">
        <v>0</v>
      </c>
      <c r="U165">
        <v>0</v>
      </c>
    </row>
    <row r="166" spans="1:22" x14ac:dyDescent="0.25">
      <c r="A166" t="s">
        <v>717</v>
      </c>
      <c r="B166" t="s">
        <v>539</v>
      </c>
      <c r="C166" t="s">
        <v>60</v>
      </c>
      <c r="E166" t="str" cm="1">
        <f t="array" ref="E166">_xlfn.IFS(T166=0, "Performing", T166&lt;=30, "Watch", T166&lt;=90, "Substandard", T166&gt;90, "Non-Performing")</f>
        <v>Performing</v>
      </c>
      <c r="F166" t="s">
        <v>718</v>
      </c>
      <c r="I166" t="s">
        <v>698</v>
      </c>
      <c r="J166" s="20">
        <v>45315</v>
      </c>
      <c r="K166">
        <f t="shared" si="15"/>
        <v>17</v>
      </c>
      <c r="L166" s="22">
        <v>45855</v>
      </c>
      <c r="M166" s="28">
        <f t="shared" ca="1" si="16"/>
        <v>0</v>
      </c>
      <c r="N166">
        <v>18</v>
      </c>
      <c r="O166" s="26">
        <f t="shared" si="17"/>
        <v>45862</v>
      </c>
      <c r="P166">
        <v>4306000000</v>
      </c>
      <c r="Q166">
        <v>20.7</v>
      </c>
      <c r="R166">
        <v>0</v>
      </c>
      <c r="S166" t="s">
        <v>704</v>
      </c>
      <c r="T166">
        <v>0</v>
      </c>
      <c r="U166">
        <v>0</v>
      </c>
      <c r="V166" t="s">
        <v>668</v>
      </c>
    </row>
    <row r="167" spans="1:22" x14ac:dyDescent="0.25">
      <c r="A167" t="s">
        <v>730</v>
      </c>
      <c r="B167" t="s">
        <v>154</v>
      </c>
      <c r="C167" t="s">
        <v>53</v>
      </c>
      <c r="D167" t="s">
        <v>673</v>
      </c>
      <c r="E167" t="str" cm="1">
        <f t="array" ref="E167">_xlfn.IFS(T167=0, "Performing", T167&lt;=30, "Watch", T167&lt;=90, "Substandard", T167&gt;90, "Non-Performing")</f>
        <v>Performing</v>
      </c>
      <c r="F167" t="s">
        <v>665</v>
      </c>
      <c r="I167" t="s">
        <v>712</v>
      </c>
      <c r="J167" s="20">
        <v>44453</v>
      </c>
      <c r="K167">
        <f t="shared" si="15"/>
        <v>47</v>
      </c>
      <c r="L167" s="22">
        <v>45893</v>
      </c>
      <c r="M167" s="28">
        <f t="shared" ca="1" si="16"/>
        <v>0</v>
      </c>
      <c r="N167">
        <v>48</v>
      </c>
      <c r="O167" s="26">
        <f t="shared" si="17"/>
        <v>45914</v>
      </c>
      <c r="P167">
        <v>20000000</v>
      </c>
      <c r="Q167">
        <v>21</v>
      </c>
      <c r="R167">
        <v>0</v>
      </c>
      <c r="S167" t="s">
        <v>704</v>
      </c>
      <c r="T167">
        <v>0</v>
      </c>
      <c r="U167">
        <v>0</v>
      </c>
      <c r="V167" t="s">
        <v>668</v>
      </c>
    </row>
    <row r="168" spans="1:22" x14ac:dyDescent="0.25">
      <c r="A168" t="s">
        <v>744</v>
      </c>
      <c r="B168" t="s">
        <v>623</v>
      </c>
      <c r="C168" t="s">
        <v>46</v>
      </c>
      <c r="D168" t="s">
        <v>658</v>
      </c>
      <c r="E168" t="str" cm="1">
        <f t="array" ref="E168">_xlfn.IFS(T168=0, "Performing", T168&lt;=30, "Watch", T168&lt;=90, "Substandard", T168&gt;90, "Non-Performing")</f>
        <v>Performing</v>
      </c>
      <c r="F168" t="s">
        <v>711</v>
      </c>
      <c r="I168" t="s">
        <v>745</v>
      </c>
      <c r="J168" s="20">
        <v>44402</v>
      </c>
      <c r="K168">
        <f t="shared" si="15"/>
        <v>23</v>
      </c>
      <c r="L168" s="22">
        <v>45122</v>
      </c>
      <c r="M168" s="28">
        <f t="shared" ca="1" si="16"/>
        <v>0</v>
      </c>
      <c r="N168">
        <v>24</v>
      </c>
      <c r="O168" s="26">
        <f t="shared" si="17"/>
        <v>45132</v>
      </c>
      <c r="P168">
        <v>22000000</v>
      </c>
      <c r="Q168">
        <v>23.5</v>
      </c>
      <c r="R168">
        <v>0</v>
      </c>
      <c r="S168" t="s">
        <v>704</v>
      </c>
      <c r="T168">
        <v>0</v>
      </c>
      <c r="U168">
        <v>0</v>
      </c>
      <c r="V168" t="s">
        <v>676</v>
      </c>
    </row>
    <row r="169" spans="1:22" x14ac:dyDescent="0.25">
      <c r="A169" t="s">
        <v>746</v>
      </c>
      <c r="B169" t="s">
        <v>287</v>
      </c>
      <c r="C169" t="s">
        <v>25</v>
      </c>
      <c r="D169" t="s">
        <v>670</v>
      </c>
      <c r="E169" t="str" cm="1">
        <f t="array" ref="E169">_xlfn.IFS(T169=0, "Performing", T169&lt;=30, "Watch", T169&lt;=90, "Substandard", T169&gt;90, "Non-Performing")</f>
        <v>Performing</v>
      </c>
      <c r="F169" t="s">
        <v>694</v>
      </c>
      <c r="I169" t="s">
        <v>671</v>
      </c>
      <c r="J169" s="20">
        <v>45292</v>
      </c>
      <c r="K169">
        <f t="shared" si="15"/>
        <v>47</v>
      </c>
      <c r="L169" s="22">
        <v>46732</v>
      </c>
      <c r="M169" s="28">
        <f t="shared" ca="1" si="16"/>
        <v>579</v>
      </c>
      <c r="N169">
        <v>48</v>
      </c>
      <c r="O169" s="26">
        <f t="shared" si="17"/>
        <v>46753</v>
      </c>
      <c r="P169">
        <v>47000000</v>
      </c>
      <c r="Q169">
        <v>19.899999999999999</v>
      </c>
      <c r="R169">
        <v>0</v>
      </c>
      <c r="S169" t="s">
        <v>747</v>
      </c>
      <c r="T169">
        <v>0</v>
      </c>
      <c r="U169">
        <v>0</v>
      </c>
      <c r="V169" t="s">
        <v>676</v>
      </c>
    </row>
    <row r="170" spans="1:22" x14ac:dyDescent="0.25">
      <c r="A170" t="s">
        <v>749</v>
      </c>
      <c r="B170" t="s">
        <v>619</v>
      </c>
      <c r="C170" t="s">
        <v>67</v>
      </c>
      <c r="D170" t="s">
        <v>664</v>
      </c>
      <c r="E170" t="str" cm="1">
        <f t="array" ref="E170">_xlfn.IFS(T170=0, "Performing", T170&lt;=30, "Watch", T170&lt;=90, "Substandard", T170&gt;90, "Non-Performing")</f>
        <v>Performing</v>
      </c>
      <c r="F170" t="s">
        <v>665</v>
      </c>
      <c r="I170" t="s">
        <v>698</v>
      </c>
      <c r="J170" s="20">
        <v>44374</v>
      </c>
      <c r="K170">
        <f t="shared" si="15"/>
        <v>23</v>
      </c>
      <c r="L170" s="22">
        <v>45094</v>
      </c>
      <c r="M170" s="28">
        <f t="shared" ca="1" si="16"/>
        <v>0</v>
      </c>
      <c r="N170">
        <v>24</v>
      </c>
      <c r="O170" s="26">
        <f t="shared" si="17"/>
        <v>45104</v>
      </c>
      <c r="P170">
        <v>43000000</v>
      </c>
      <c r="Q170">
        <v>20.7</v>
      </c>
      <c r="R170">
        <v>0</v>
      </c>
      <c r="S170" t="s">
        <v>750</v>
      </c>
      <c r="T170">
        <v>0</v>
      </c>
      <c r="U170">
        <v>0</v>
      </c>
      <c r="V170" t="s">
        <v>676</v>
      </c>
    </row>
    <row r="171" spans="1:22" x14ac:dyDescent="0.25">
      <c r="A171" t="s">
        <v>757</v>
      </c>
      <c r="B171" t="s">
        <v>353</v>
      </c>
      <c r="C171" t="s">
        <v>39</v>
      </c>
      <c r="D171" t="s">
        <v>722</v>
      </c>
      <c r="E171" t="str" cm="1">
        <f t="array" ref="E171">_xlfn.IFS(T171=0, "Performing", T171&lt;=30, "Watch", T171&lt;=90, "Substandard", T171&gt;90, "Non-Performing")</f>
        <v>Performing</v>
      </c>
      <c r="F171" t="s">
        <v>711</v>
      </c>
      <c r="I171" t="s">
        <v>745</v>
      </c>
      <c r="J171" s="20">
        <v>44243</v>
      </c>
      <c r="K171">
        <f t="shared" si="15"/>
        <v>19</v>
      </c>
      <c r="L171" s="22">
        <v>44842</v>
      </c>
      <c r="M171" s="28">
        <f t="shared" ca="1" si="16"/>
        <v>0</v>
      </c>
      <c r="N171">
        <v>18</v>
      </c>
      <c r="O171" s="26">
        <f t="shared" si="17"/>
        <v>44789</v>
      </c>
      <c r="P171">
        <v>394000000</v>
      </c>
      <c r="Q171">
        <v>21.4</v>
      </c>
      <c r="R171">
        <v>0</v>
      </c>
      <c r="S171" t="s">
        <v>747</v>
      </c>
      <c r="T171">
        <v>0</v>
      </c>
      <c r="U171">
        <v>0</v>
      </c>
      <c r="V171" t="s">
        <v>736</v>
      </c>
    </row>
    <row r="172" spans="1:22" x14ac:dyDescent="0.25">
      <c r="A172" t="s">
        <v>761</v>
      </c>
      <c r="B172" t="s">
        <v>361</v>
      </c>
      <c r="C172" t="s">
        <v>39</v>
      </c>
      <c r="D172" t="s">
        <v>701</v>
      </c>
      <c r="E172" t="str" cm="1">
        <f t="array" ref="E172">_xlfn.IFS(T172=0, "Performing", T172&lt;=30, "Watch", T172&lt;=90, "Substandard", T172&gt;90, "Non-Performing")</f>
        <v>Performing</v>
      </c>
      <c r="F172" t="s">
        <v>679</v>
      </c>
      <c r="I172" t="s">
        <v>727</v>
      </c>
      <c r="J172" s="20">
        <v>45474</v>
      </c>
      <c r="K172">
        <f t="shared" si="15"/>
        <v>17</v>
      </c>
      <c r="L172" s="22">
        <v>46018</v>
      </c>
      <c r="M172" s="28">
        <f t="shared" ca="1" si="16"/>
        <v>0</v>
      </c>
      <c r="N172">
        <v>24</v>
      </c>
      <c r="O172" s="26">
        <f t="shared" si="17"/>
        <v>46204</v>
      </c>
      <c r="P172">
        <v>484000000</v>
      </c>
      <c r="Q172">
        <v>26</v>
      </c>
      <c r="R172">
        <v>0</v>
      </c>
      <c r="S172" t="s">
        <v>704</v>
      </c>
      <c r="T172">
        <v>0</v>
      </c>
      <c r="U172">
        <v>0</v>
      </c>
      <c r="V172" t="s">
        <v>688</v>
      </c>
    </row>
    <row r="173" spans="1:22" x14ac:dyDescent="0.25">
      <c r="A173" t="s">
        <v>766</v>
      </c>
      <c r="B173" t="s">
        <v>583</v>
      </c>
      <c r="C173" t="s">
        <v>73</v>
      </c>
      <c r="E173" t="str" cm="1">
        <f t="array" ref="E173">_xlfn.IFS(T173=0, "Performing", T173&lt;=30, "Watch", T173&lt;=90, "Substandard", T173&gt;90, "Non-Performing")</f>
        <v>Performing</v>
      </c>
      <c r="F173" t="s">
        <v>111</v>
      </c>
      <c r="I173" t="s">
        <v>691</v>
      </c>
      <c r="J173" s="20">
        <v>44512</v>
      </c>
      <c r="K173">
        <f t="shared" si="15"/>
        <v>48</v>
      </c>
      <c r="L173" s="22">
        <v>45981</v>
      </c>
      <c r="M173" s="28">
        <f t="shared" ca="1" si="16"/>
        <v>0</v>
      </c>
      <c r="N173">
        <v>48</v>
      </c>
      <c r="O173" s="26">
        <f t="shared" si="17"/>
        <v>45973</v>
      </c>
      <c r="P173">
        <v>1646000000</v>
      </c>
      <c r="Q173">
        <v>21.7</v>
      </c>
      <c r="R173">
        <v>0</v>
      </c>
      <c r="S173" t="s">
        <v>704</v>
      </c>
      <c r="T173">
        <v>0</v>
      </c>
      <c r="U173">
        <v>0</v>
      </c>
      <c r="V173" t="s">
        <v>714</v>
      </c>
    </row>
    <row r="174" spans="1:22" x14ac:dyDescent="0.25">
      <c r="A174" t="s">
        <v>797</v>
      </c>
      <c r="B174" t="s">
        <v>611</v>
      </c>
      <c r="C174" t="s">
        <v>53</v>
      </c>
      <c r="D174" t="s">
        <v>673</v>
      </c>
      <c r="E174" t="str" cm="1">
        <f t="array" ref="E174">_xlfn.IFS(T174=0, "Performing", T174&lt;=30, "Watch", T174&lt;=90, "Substandard", T174&gt;90, "Non-Performing")</f>
        <v>Performing</v>
      </c>
      <c r="F174" t="s">
        <v>665</v>
      </c>
      <c r="I174" t="s">
        <v>666</v>
      </c>
      <c r="J174" s="20">
        <v>45240</v>
      </c>
      <c r="K174">
        <f t="shared" si="15"/>
        <v>5</v>
      </c>
      <c r="L174" s="22">
        <v>45393</v>
      </c>
      <c r="M174" s="28">
        <f t="shared" ca="1" si="16"/>
        <v>0</v>
      </c>
      <c r="N174">
        <v>12</v>
      </c>
      <c r="O174" s="26">
        <f t="shared" si="17"/>
        <v>45606</v>
      </c>
      <c r="P174">
        <v>2921000000</v>
      </c>
      <c r="Q174">
        <v>14.8</v>
      </c>
      <c r="R174">
        <v>0</v>
      </c>
      <c r="S174" t="s">
        <v>747</v>
      </c>
      <c r="T174">
        <v>0</v>
      </c>
      <c r="U174">
        <v>0</v>
      </c>
      <c r="V174" t="s">
        <v>688</v>
      </c>
    </row>
    <row r="175" spans="1:22" x14ac:dyDescent="0.25">
      <c r="A175" t="s">
        <v>831</v>
      </c>
      <c r="B175" t="s">
        <v>607</v>
      </c>
      <c r="C175" t="s">
        <v>46</v>
      </c>
      <c r="D175" t="s">
        <v>678</v>
      </c>
      <c r="E175" t="str" cm="1">
        <f t="array" ref="E175">_xlfn.IFS(T175=0, "Performing", T175&lt;=30, "Watch", T175&lt;=90, "Substandard", T175&gt;90, "Non-Performing")</f>
        <v>Performing</v>
      </c>
      <c r="F175" t="s">
        <v>760</v>
      </c>
      <c r="I175" t="s">
        <v>683</v>
      </c>
      <c r="J175" s="20">
        <v>45104</v>
      </c>
      <c r="K175">
        <f t="shared" si="15"/>
        <v>59</v>
      </c>
      <c r="L175" s="22">
        <v>46904</v>
      </c>
      <c r="M175" s="28">
        <f t="shared" ca="1" si="16"/>
        <v>751</v>
      </c>
      <c r="N175">
        <v>60</v>
      </c>
      <c r="O175" s="26">
        <f t="shared" si="17"/>
        <v>46931</v>
      </c>
      <c r="P175">
        <v>3914000000</v>
      </c>
      <c r="Q175">
        <v>23</v>
      </c>
      <c r="R175">
        <v>0</v>
      </c>
      <c r="S175" t="s">
        <v>704</v>
      </c>
      <c r="T175">
        <v>0</v>
      </c>
      <c r="U175">
        <v>0</v>
      </c>
      <c r="V175" t="s">
        <v>688</v>
      </c>
    </row>
    <row r="176" spans="1:22" x14ac:dyDescent="0.25">
      <c r="A176" t="s">
        <v>838</v>
      </c>
      <c r="B176" t="s">
        <v>603</v>
      </c>
      <c r="C176" t="s">
        <v>33</v>
      </c>
      <c r="D176" t="s">
        <v>690</v>
      </c>
      <c r="E176" t="str" cm="1">
        <f t="array" ref="E176">_xlfn.IFS(T176=0, "Performing", T176&lt;=30, "Watch", T176&lt;=90, "Substandard", T176&gt;90, "Non-Performing")</f>
        <v>Performing</v>
      </c>
      <c r="F176" t="s">
        <v>711</v>
      </c>
      <c r="I176" t="s">
        <v>680</v>
      </c>
      <c r="J176" s="20">
        <v>44264</v>
      </c>
      <c r="K176">
        <f t="shared" si="15"/>
        <v>64</v>
      </c>
      <c r="L176" s="22">
        <v>46242</v>
      </c>
      <c r="M176" s="28">
        <f t="shared" ca="1" si="16"/>
        <v>89</v>
      </c>
      <c r="N176">
        <v>60</v>
      </c>
      <c r="O176" s="26">
        <f t="shared" si="17"/>
        <v>46090</v>
      </c>
      <c r="P176">
        <v>245000000</v>
      </c>
      <c r="Q176">
        <v>19.8</v>
      </c>
      <c r="R176">
        <v>0</v>
      </c>
      <c r="S176" t="s">
        <v>704</v>
      </c>
      <c r="T176">
        <v>0</v>
      </c>
      <c r="U176">
        <v>0</v>
      </c>
      <c r="V176" t="s">
        <v>668</v>
      </c>
    </row>
    <row r="177" spans="1:22" x14ac:dyDescent="0.25">
      <c r="A177" t="s">
        <v>839</v>
      </c>
      <c r="B177" t="s">
        <v>154</v>
      </c>
      <c r="C177" t="s">
        <v>73</v>
      </c>
      <c r="D177" t="s">
        <v>686</v>
      </c>
      <c r="E177" t="str" cm="1">
        <f t="array" ref="E177">_xlfn.IFS(T177=0, "Performing", T177&lt;=30, "Watch", T177&lt;=90, "Substandard", T177&gt;90, "Non-Performing")</f>
        <v>Performing</v>
      </c>
      <c r="F177" t="s">
        <v>687</v>
      </c>
      <c r="I177" t="s">
        <v>698</v>
      </c>
      <c r="J177" s="20">
        <v>44315</v>
      </c>
      <c r="K177">
        <f t="shared" si="15"/>
        <v>5</v>
      </c>
      <c r="L177" s="22">
        <v>44495</v>
      </c>
      <c r="M177" s="28">
        <f t="shared" ca="1" si="16"/>
        <v>0</v>
      </c>
      <c r="N177">
        <v>6</v>
      </c>
      <c r="O177" s="26">
        <f t="shared" si="17"/>
        <v>44498</v>
      </c>
      <c r="P177">
        <v>29000000</v>
      </c>
      <c r="Q177">
        <v>22.1</v>
      </c>
      <c r="R177">
        <v>0</v>
      </c>
      <c r="S177" t="s">
        <v>704</v>
      </c>
      <c r="T177">
        <v>0</v>
      </c>
      <c r="U177">
        <v>0</v>
      </c>
      <c r="V177" t="s">
        <v>688</v>
      </c>
    </row>
    <row r="178" spans="1:22" x14ac:dyDescent="0.25">
      <c r="A178" t="s">
        <v>841</v>
      </c>
      <c r="B178" t="s">
        <v>321</v>
      </c>
      <c r="C178" t="s">
        <v>67</v>
      </c>
      <c r="D178" t="s">
        <v>658</v>
      </c>
      <c r="E178" t="str" cm="1">
        <f t="array" ref="E178">_xlfn.IFS(T178=0, "Performing", T178&lt;=30, "Watch", T178&lt;=90, "Substandard", T178&gt;90, "Non-Performing")</f>
        <v>Performing</v>
      </c>
      <c r="F178" t="s">
        <v>687</v>
      </c>
      <c r="I178" t="s">
        <v>698</v>
      </c>
      <c r="J178" s="20">
        <v>44936</v>
      </c>
      <c r="K178">
        <f t="shared" si="15"/>
        <v>26</v>
      </c>
      <c r="L178" s="22">
        <v>45740</v>
      </c>
      <c r="M178" s="28">
        <f t="shared" ca="1" si="16"/>
        <v>0</v>
      </c>
      <c r="N178">
        <v>18</v>
      </c>
      <c r="O178" s="26">
        <f t="shared" si="17"/>
        <v>45483</v>
      </c>
      <c r="P178">
        <v>146000000</v>
      </c>
      <c r="Q178">
        <v>14.3</v>
      </c>
      <c r="R178">
        <v>0</v>
      </c>
      <c r="S178" t="s">
        <v>747</v>
      </c>
      <c r="T178">
        <v>0</v>
      </c>
      <c r="U178">
        <v>0</v>
      </c>
      <c r="V178" t="s">
        <v>668</v>
      </c>
    </row>
    <row r="179" spans="1:22" x14ac:dyDescent="0.25">
      <c r="A179" t="s">
        <v>843</v>
      </c>
      <c r="B179" t="s">
        <v>518</v>
      </c>
      <c r="C179" t="s">
        <v>39</v>
      </c>
      <c r="D179" t="s">
        <v>664</v>
      </c>
      <c r="E179" t="str" cm="1">
        <f t="array" ref="E179">_xlfn.IFS(T179=0, "Performing", T179&lt;=30, "Watch", T179&lt;=90, "Substandard", T179&gt;90, "Non-Performing")</f>
        <v>Performing</v>
      </c>
      <c r="F179" t="s">
        <v>659</v>
      </c>
      <c r="I179" t="s">
        <v>680</v>
      </c>
      <c r="J179" s="20">
        <v>45462</v>
      </c>
      <c r="K179">
        <f t="shared" si="15"/>
        <v>5</v>
      </c>
      <c r="L179" s="22">
        <v>45642</v>
      </c>
      <c r="M179" s="28">
        <f t="shared" ca="1" si="16"/>
        <v>0</v>
      </c>
      <c r="N179">
        <v>6</v>
      </c>
      <c r="O179" s="26">
        <f t="shared" si="17"/>
        <v>45645</v>
      </c>
      <c r="P179">
        <v>108000000</v>
      </c>
      <c r="Q179">
        <v>16.8</v>
      </c>
      <c r="R179">
        <v>0</v>
      </c>
      <c r="S179" t="s">
        <v>704</v>
      </c>
      <c r="T179">
        <v>0</v>
      </c>
      <c r="U179">
        <v>0</v>
      </c>
      <c r="V179" t="s">
        <v>699</v>
      </c>
    </row>
    <row r="180" spans="1:22" x14ac:dyDescent="0.25">
      <c r="A180" t="s">
        <v>845</v>
      </c>
      <c r="B180" t="s">
        <v>292</v>
      </c>
      <c r="C180" t="s">
        <v>60</v>
      </c>
      <c r="D180" t="s">
        <v>658</v>
      </c>
      <c r="E180" t="str" cm="1">
        <f t="array" ref="E180">_xlfn.IFS(T180=0, "Performing", T180&lt;=30, "Watch", T180&lt;=90, "Substandard", T180&gt;90, "Non-Performing")</f>
        <v>Performing</v>
      </c>
      <c r="F180" t="s">
        <v>709</v>
      </c>
      <c r="I180" t="s">
        <v>660</v>
      </c>
      <c r="J180" s="20">
        <v>44434</v>
      </c>
      <c r="K180">
        <f t="shared" si="15"/>
        <v>5</v>
      </c>
      <c r="L180" s="22">
        <v>44614</v>
      </c>
      <c r="M180" s="28">
        <f t="shared" ca="1" si="16"/>
        <v>0</v>
      </c>
      <c r="N180">
        <v>6</v>
      </c>
      <c r="O180" s="26">
        <f t="shared" si="17"/>
        <v>44618</v>
      </c>
      <c r="P180">
        <v>49000000</v>
      </c>
      <c r="Q180">
        <v>23.3</v>
      </c>
      <c r="R180">
        <v>0</v>
      </c>
      <c r="S180" t="s">
        <v>704</v>
      </c>
      <c r="T180">
        <v>0</v>
      </c>
      <c r="U180">
        <v>0</v>
      </c>
      <c r="V180" t="s">
        <v>702</v>
      </c>
    </row>
    <row r="181" spans="1:22" x14ac:dyDescent="0.25">
      <c r="A181" t="s">
        <v>849</v>
      </c>
      <c r="B181" t="s">
        <v>490</v>
      </c>
      <c r="C181" t="s">
        <v>67</v>
      </c>
      <c r="D181" t="s">
        <v>678</v>
      </c>
      <c r="E181" t="str" cm="1">
        <f t="array" ref="E181">_xlfn.IFS(T181=0, "Performing", T181&lt;=30, "Watch", T181&lt;=90, "Substandard", T181&gt;90, "Non-Performing")</f>
        <v>Performing</v>
      </c>
      <c r="F181" t="s">
        <v>665</v>
      </c>
      <c r="I181" t="s">
        <v>666</v>
      </c>
      <c r="J181" s="20">
        <v>44308</v>
      </c>
      <c r="K181">
        <f t="shared" si="15"/>
        <v>5</v>
      </c>
      <c r="L181" s="22">
        <v>44488</v>
      </c>
      <c r="M181" s="28">
        <f t="shared" ca="1" si="16"/>
        <v>0</v>
      </c>
      <c r="N181">
        <v>6</v>
      </c>
      <c r="O181" s="26">
        <f t="shared" si="17"/>
        <v>44491</v>
      </c>
      <c r="P181">
        <v>130000000</v>
      </c>
      <c r="Q181">
        <v>25.9</v>
      </c>
      <c r="R181">
        <v>0</v>
      </c>
      <c r="S181" t="s">
        <v>704</v>
      </c>
      <c r="T181">
        <v>0</v>
      </c>
      <c r="U181">
        <v>0</v>
      </c>
      <c r="V181" t="s">
        <v>662</v>
      </c>
    </row>
    <row r="182" spans="1:22" x14ac:dyDescent="0.25">
      <c r="A182" t="s">
        <v>853</v>
      </c>
      <c r="B182" t="s">
        <v>424</v>
      </c>
      <c r="C182" t="s">
        <v>60</v>
      </c>
      <c r="D182" t="s">
        <v>722</v>
      </c>
      <c r="E182" t="str" cm="1">
        <f t="array" ref="E182">_xlfn.IFS(T182=0, "Performing", T182&lt;=30, "Watch", T182&lt;=90, "Substandard", T182&gt;90, "Non-Performing")</f>
        <v>Performing</v>
      </c>
      <c r="F182" t="s">
        <v>659</v>
      </c>
      <c r="I182" t="s">
        <v>745</v>
      </c>
      <c r="J182" s="20">
        <v>44267</v>
      </c>
      <c r="K182">
        <f t="shared" si="15"/>
        <v>32</v>
      </c>
      <c r="L182" s="22">
        <v>45253</v>
      </c>
      <c r="M182" s="28">
        <f t="shared" ca="1" si="16"/>
        <v>0</v>
      </c>
      <c r="N182">
        <v>24</v>
      </c>
      <c r="O182" s="26">
        <f t="shared" si="17"/>
        <v>44997</v>
      </c>
      <c r="P182">
        <v>9000000</v>
      </c>
      <c r="Q182">
        <v>17.600000000000001</v>
      </c>
      <c r="R182">
        <v>0</v>
      </c>
      <c r="S182" t="s">
        <v>704</v>
      </c>
      <c r="T182">
        <v>0</v>
      </c>
      <c r="U182">
        <v>0</v>
      </c>
      <c r="V182" t="s">
        <v>736</v>
      </c>
    </row>
    <row r="183" spans="1:22" x14ac:dyDescent="0.25">
      <c r="A183" t="s">
        <v>855</v>
      </c>
      <c r="B183" t="s">
        <v>415</v>
      </c>
      <c r="C183" t="s">
        <v>67</v>
      </c>
      <c r="D183" t="s">
        <v>664</v>
      </c>
      <c r="E183" t="str" cm="1">
        <f t="array" ref="E183">_xlfn.IFS(T183=0, "Performing", T183&lt;=30, "Watch", T183&lt;=90, "Substandard", T183&gt;90, "Non-Performing")</f>
        <v>Performing</v>
      </c>
      <c r="F183" t="s">
        <v>694</v>
      </c>
      <c r="I183" t="s">
        <v>683</v>
      </c>
      <c r="J183" s="20">
        <v>44705</v>
      </c>
      <c r="K183">
        <f t="shared" si="15"/>
        <v>17</v>
      </c>
      <c r="L183" s="22">
        <v>45245</v>
      </c>
      <c r="M183" s="28">
        <f t="shared" ca="1" si="16"/>
        <v>0</v>
      </c>
      <c r="N183">
        <v>18</v>
      </c>
      <c r="O183" s="26">
        <f t="shared" si="17"/>
        <v>45254</v>
      </c>
      <c r="P183">
        <v>225000000</v>
      </c>
      <c r="Q183">
        <v>25.3</v>
      </c>
      <c r="R183">
        <v>0</v>
      </c>
      <c r="S183" t="s">
        <v>704</v>
      </c>
      <c r="T183">
        <v>0</v>
      </c>
      <c r="U183">
        <v>0</v>
      </c>
      <c r="V183" t="s">
        <v>716</v>
      </c>
    </row>
    <row r="184" spans="1:22" x14ac:dyDescent="0.25">
      <c r="A184" t="s">
        <v>857</v>
      </c>
      <c r="B184" t="s">
        <v>371</v>
      </c>
      <c r="C184" t="s">
        <v>25</v>
      </c>
      <c r="D184" t="s">
        <v>707</v>
      </c>
      <c r="E184" t="str" cm="1">
        <f t="array" ref="E184">_xlfn.IFS(T184=0, "Performing", T184&lt;=30, "Watch", T184&lt;=90, "Substandard", T184&gt;90, "Non-Performing")</f>
        <v>Performing</v>
      </c>
      <c r="F184" t="s">
        <v>659</v>
      </c>
      <c r="I184" t="s">
        <v>745</v>
      </c>
      <c r="J184" s="20">
        <v>44977</v>
      </c>
      <c r="K184">
        <f t="shared" si="15"/>
        <v>11</v>
      </c>
      <c r="L184" s="22">
        <v>45337</v>
      </c>
      <c r="M184" s="28">
        <f t="shared" ca="1" si="16"/>
        <v>0</v>
      </c>
      <c r="N184">
        <v>12</v>
      </c>
      <c r="O184" s="26">
        <f t="shared" si="17"/>
        <v>45342</v>
      </c>
      <c r="P184">
        <v>4000000</v>
      </c>
      <c r="Q184">
        <v>17.7</v>
      </c>
      <c r="R184">
        <v>0</v>
      </c>
      <c r="S184" t="s">
        <v>747</v>
      </c>
      <c r="T184">
        <v>0</v>
      </c>
      <c r="U184">
        <v>0</v>
      </c>
      <c r="V184" t="s">
        <v>699</v>
      </c>
    </row>
    <row r="185" spans="1:22" x14ac:dyDescent="0.25">
      <c r="A185" t="s">
        <v>868</v>
      </c>
      <c r="B185" t="s">
        <v>432</v>
      </c>
      <c r="C185" t="s">
        <v>33</v>
      </c>
      <c r="D185" t="s">
        <v>701</v>
      </c>
      <c r="E185" t="str" cm="1">
        <f t="array" ref="E185">_xlfn.IFS(T185=0, "Performing", T185&lt;=30, "Watch", T185&lt;=90, "Substandard", T185&gt;90, "Non-Performing")</f>
        <v>Performing</v>
      </c>
      <c r="F185" t="s">
        <v>711</v>
      </c>
      <c r="I185" t="s">
        <v>683</v>
      </c>
      <c r="J185" s="20">
        <v>44724</v>
      </c>
      <c r="K185">
        <f t="shared" si="15"/>
        <v>7</v>
      </c>
      <c r="L185" s="22">
        <v>44938</v>
      </c>
      <c r="M185" s="28">
        <f t="shared" ca="1" si="16"/>
        <v>0</v>
      </c>
      <c r="N185">
        <v>12</v>
      </c>
      <c r="O185" s="26">
        <f t="shared" si="17"/>
        <v>45089</v>
      </c>
      <c r="P185">
        <v>27000000</v>
      </c>
      <c r="Q185">
        <v>16.3</v>
      </c>
      <c r="R185">
        <v>0</v>
      </c>
      <c r="S185" t="s">
        <v>704</v>
      </c>
      <c r="T185">
        <v>0</v>
      </c>
      <c r="U185">
        <v>0</v>
      </c>
      <c r="V185" t="s">
        <v>699</v>
      </c>
    </row>
    <row r="186" spans="1:22" x14ac:dyDescent="0.25">
      <c r="A186" t="s">
        <v>874</v>
      </c>
      <c r="B186" t="s">
        <v>222</v>
      </c>
      <c r="C186" t="s">
        <v>67</v>
      </c>
      <c r="D186" t="s">
        <v>658</v>
      </c>
      <c r="E186" t="str" cm="1">
        <f t="array" ref="E186">_xlfn.IFS(T186=0, "Performing", T186&lt;=30, "Watch", T186&lt;=90, "Substandard", T186&gt;90, "Non-Performing")</f>
        <v>Performing</v>
      </c>
      <c r="F186" t="s">
        <v>679</v>
      </c>
      <c r="I186" t="s">
        <v>698</v>
      </c>
      <c r="J186" s="20">
        <v>45400</v>
      </c>
      <c r="K186">
        <f t="shared" si="15"/>
        <v>47</v>
      </c>
      <c r="L186" s="22">
        <v>46840</v>
      </c>
      <c r="M186" s="28">
        <f t="shared" ca="1" si="16"/>
        <v>687</v>
      </c>
      <c r="N186">
        <v>48</v>
      </c>
      <c r="O186" s="26">
        <f t="shared" si="17"/>
        <v>46861</v>
      </c>
      <c r="P186">
        <v>314000000</v>
      </c>
      <c r="Q186">
        <v>27.6</v>
      </c>
      <c r="R186">
        <v>0</v>
      </c>
      <c r="S186" t="s">
        <v>747</v>
      </c>
      <c r="T186">
        <v>0</v>
      </c>
      <c r="U186">
        <v>0</v>
      </c>
      <c r="V186" t="s">
        <v>714</v>
      </c>
    </row>
    <row r="187" spans="1:22" x14ac:dyDescent="0.25">
      <c r="A187" t="s">
        <v>878</v>
      </c>
      <c r="B187" t="s">
        <v>567</v>
      </c>
      <c r="C187" t="s">
        <v>39</v>
      </c>
      <c r="D187" t="s">
        <v>682</v>
      </c>
      <c r="E187" t="str" cm="1">
        <f t="array" ref="E187">_xlfn.IFS(T187=0, "Performing", T187&lt;=30, "Watch", T187&lt;=90, "Substandard", T187&gt;90, "Non-Performing")</f>
        <v>Performing</v>
      </c>
      <c r="F187" t="s">
        <v>665</v>
      </c>
      <c r="I187" t="s">
        <v>712</v>
      </c>
      <c r="J187" s="20">
        <v>44540</v>
      </c>
      <c r="K187">
        <f t="shared" si="15"/>
        <v>47</v>
      </c>
      <c r="L187" s="22">
        <v>45980</v>
      </c>
      <c r="M187" s="28">
        <f t="shared" ca="1" si="16"/>
        <v>0</v>
      </c>
      <c r="N187">
        <v>48</v>
      </c>
      <c r="O187" s="26">
        <f t="shared" si="17"/>
        <v>46001</v>
      </c>
      <c r="P187">
        <v>4214000000</v>
      </c>
      <c r="Q187">
        <v>22.3</v>
      </c>
      <c r="R187">
        <v>0</v>
      </c>
      <c r="S187" t="s">
        <v>704</v>
      </c>
      <c r="T187">
        <v>0</v>
      </c>
      <c r="U187">
        <v>0</v>
      </c>
      <c r="V187" t="s">
        <v>716</v>
      </c>
    </row>
    <row r="188" spans="1:22" x14ac:dyDescent="0.25">
      <c r="A188" t="s">
        <v>887</v>
      </c>
      <c r="B188" t="s">
        <v>432</v>
      </c>
      <c r="C188" t="s">
        <v>25</v>
      </c>
      <c r="D188" t="s">
        <v>722</v>
      </c>
      <c r="E188" t="str" cm="1">
        <f t="array" ref="E188">_xlfn.IFS(T188=0, "Performing", T188&lt;=30, "Watch", T188&lt;=90, "Substandard", T188&gt;90, "Non-Performing")</f>
        <v>Performing</v>
      </c>
      <c r="F188" t="s">
        <v>760</v>
      </c>
      <c r="I188" t="s">
        <v>671</v>
      </c>
      <c r="J188" s="20">
        <v>44903</v>
      </c>
      <c r="K188">
        <f t="shared" si="15"/>
        <v>7</v>
      </c>
      <c r="L188" s="22">
        <v>45140</v>
      </c>
      <c r="M188" s="28">
        <f t="shared" ca="1" si="16"/>
        <v>0</v>
      </c>
      <c r="N188">
        <v>6</v>
      </c>
      <c r="O188" s="26">
        <f t="shared" si="17"/>
        <v>45085</v>
      </c>
      <c r="P188">
        <v>26000000</v>
      </c>
      <c r="Q188">
        <v>21.8</v>
      </c>
      <c r="R188">
        <v>0</v>
      </c>
      <c r="S188" t="s">
        <v>704</v>
      </c>
      <c r="T188">
        <v>0</v>
      </c>
      <c r="U188">
        <v>0</v>
      </c>
      <c r="V188" t="s">
        <v>688</v>
      </c>
    </row>
    <row r="189" spans="1:22" x14ac:dyDescent="0.25">
      <c r="A189" t="s">
        <v>890</v>
      </c>
      <c r="B189" t="s">
        <v>514</v>
      </c>
      <c r="C189" t="s">
        <v>25</v>
      </c>
      <c r="D189" t="s">
        <v>752</v>
      </c>
      <c r="E189" t="str" cm="1">
        <f t="array" ref="E189">_xlfn.IFS(T189=0, "Performing", T189&lt;=30, "Watch", T189&lt;=90, "Substandard", T189&gt;90, "Non-Performing")</f>
        <v>Performing</v>
      </c>
      <c r="F189" t="s">
        <v>711</v>
      </c>
      <c r="I189" t="s">
        <v>660</v>
      </c>
      <c r="J189" s="20">
        <v>45386</v>
      </c>
      <c r="K189">
        <f t="shared" si="15"/>
        <v>0</v>
      </c>
      <c r="L189" s="22">
        <v>45301</v>
      </c>
      <c r="M189" s="28">
        <f t="shared" ca="1" si="16"/>
        <v>0</v>
      </c>
      <c r="N189">
        <v>6</v>
      </c>
      <c r="O189" s="26">
        <f t="shared" si="17"/>
        <v>45569</v>
      </c>
      <c r="P189">
        <v>21000000</v>
      </c>
      <c r="Q189">
        <v>21.7</v>
      </c>
      <c r="R189">
        <v>0</v>
      </c>
      <c r="S189" t="s">
        <v>704</v>
      </c>
      <c r="T189">
        <v>0</v>
      </c>
      <c r="U189">
        <v>0</v>
      </c>
      <c r="V189" t="s">
        <v>699</v>
      </c>
    </row>
    <row r="190" spans="1:22" x14ac:dyDescent="0.25">
      <c r="A190" t="s">
        <v>891</v>
      </c>
      <c r="B190" t="s">
        <v>283</v>
      </c>
      <c r="C190" t="s">
        <v>73</v>
      </c>
      <c r="D190" t="s">
        <v>678</v>
      </c>
      <c r="E190" t="str" cm="1">
        <f t="array" ref="E190">_xlfn.IFS(T190=0, "Performing", T190&lt;=30, "Watch", T190&lt;=90, "Substandard", T190&gt;90, "Non-Performing")</f>
        <v>Performing</v>
      </c>
      <c r="F190" t="s">
        <v>694</v>
      </c>
      <c r="I190" t="s">
        <v>727</v>
      </c>
      <c r="J190" s="20">
        <v>45376</v>
      </c>
      <c r="K190">
        <f t="shared" si="15"/>
        <v>47</v>
      </c>
      <c r="L190" s="22">
        <v>46816</v>
      </c>
      <c r="M190" s="28">
        <f t="shared" ca="1" si="16"/>
        <v>663</v>
      </c>
      <c r="N190">
        <v>48</v>
      </c>
      <c r="O190" s="26">
        <f t="shared" si="17"/>
        <v>46837</v>
      </c>
      <c r="P190">
        <v>1318000000</v>
      </c>
      <c r="Q190">
        <v>17.8</v>
      </c>
      <c r="R190">
        <v>0</v>
      </c>
      <c r="S190" t="s">
        <v>747</v>
      </c>
      <c r="T190">
        <v>0</v>
      </c>
      <c r="U190">
        <v>0</v>
      </c>
      <c r="V190" t="s">
        <v>714</v>
      </c>
    </row>
    <row r="191" spans="1:22" x14ac:dyDescent="0.25">
      <c r="A191" t="s">
        <v>897</v>
      </c>
      <c r="B191" t="s">
        <v>432</v>
      </c>
      <c r="C191" t="s">
        <v>53</v>
      </c>
      <c r="D191" t="s">
        <v>686</v>
      </c>
      <c r="E191" t="str" cm="1">
        <f t="array" ref="E191">_xlfn.IFS(T191=0, "Performing", T191&lt;=30, "Watch", T191&lt;=90, "Substandard", T191&gt;90, "Non-Performing")</f>
        <v>Performing</v>
      </c>
      <c r="F191" t="s">
        <v>111</v>
      </c>
      <c r="I191" t="s">
        <v>680</v>
      </c>
      <c r="J191" s="20">
        <v>44869</v>
      </c>
      <c r="K191">
        <f t="shared" si="15"/>
        <v>52</v>
      </c>
      <c r="L191" s="22">
        <v>46462</v>
      </c>
      <c r="M191" s="28">
        <f t="shared" ca="1" si="16"/>
        <v>309</v>
      </c>
      <c r="N191">
        <v>60</v>
      </c>
      <c r="O191" s="26">
        <f t="shared" si="17"/>
        <v>46695</v>
      </c>
      <c r="P191">
        <v>276000000</v>
      </c>
      <c r="Q191">
        <v>19.8</v>
      </c>
      <c r="R191">
        <v>0</v>
      </c>
      <c r="S191" t="s">
        <v>704</v>
      </c>
      <c r="T191">
        <v>0</v>
      </c>
      <c r="U191">
        <v>0</v>
      </c>
      <c r="V191" t="s">
        <v>699</v>
      </c>
    </row>
    <row r="192" spans="1:22" x14ac:dyDescent="0.25">
      <c r="A192" t="s">
        <v>901</v>
      </c>
      <c r="B192" t="s">
        <v>231</v>
      </c>
      <c r="C192" t="s">
        <v>53</v>
      </c>
      <c r="D192" t="s">
        <v>664</v>
      </c>
      <c r="E192" t="str" cm="1">
        <f t="array" ref="E192">_xlfn.IFS(T192=0, "Performing", T192&lt;=30, "Watch", T192&lt;=90, "Substandard", T192&gt;90, "Non-Performing")</f>
        <v>Performing</v>
      </c>
      <c r="F192" t="s">
        <v>718</v>
      </c>
      <c r="I192" t="s">
        <v>674</v>
      </c>
      <c r="J192" s="20">
        <v>44706</v>
      </c>
      <c r="K192">
        <f t="shared" si="15"/>
        <v>23</v>
      </c>
      <c r="L192" s="22">
        <v>45426</v>
      </c>
      <c r="M192" s="28">
        <f t="shared" ca="1" si="16"/>
        <v>0</v>
      </c>
      <c r="N192">
        <v>24</v>
      </c>
      <c r="O192" s="26">
        <f t="shared" si="17"/>
        <v>45437</v>
      </c>
      <c r="P192">
        <v>2524000000</v>
      </c>
      <c r="Q192">
        <v>27.9</v>
      </c>
      <c r="R192">
        <v>0</v>
      </c>
      <c r="S192" t="s">
        <v>704</v>
      </c>
      <c r="T192">
        <v>0</v>
      </c>
      <c r="U192">
        <v>0</v>
      </c>
      <c r="V192" t="s">
        <v>688</v>
      </c>
    </row>
    <row r="193" spans="1:22" x14ac:dyDescent="0.25">
      <c r="A193" t="s">
        <v>904</v>
      </c>
      <c r="B193" t="s">
        <v>105</v>
      </c>
      <c r="C193" t="s">
        <v>67</v>
      </c>
      <c r="D193" t="s">
        <v>686</v>
      </c>
      <c r="E193" t="str" cm="1">
        <f t="array" ref="E193">_xlfn.IFS(T193=0, "Performing", T193&lt;=30, "Watch", T193&lt;=90, "Substandard", T193&gt;90, "Non-Performing")</f>
        <v>Performing</v>
      </c>
      <c r="F193" t="s">
        <v>687</v>
      </c>
      <c r="I193" t="s">
        <v>712</v>
      </c>
      <c r="J193" s="20">
        <v>44277</v>
      </c>
      <c r="K193">
        <f t="shared" si="15"/>
        <v>32</v>
      </c>
      <c r="L193" s="22">
        <v>45263</v>
      </c>
      <c r="M193" s="28">
        <f t="shared" ca="1" si="16"/>
        <v>0</v>
      </c>
      <c r="N193">
        <v>24</v>
      </c>
      <c r="O193" s="26">
        <f t="shared" si="17"/>
        <v>45007</v>
      </c>
      <c r="P193">
        <v>2914000000</v>
      </c>
      <c r="Q193">
        <v>23.8</v>
      </c>
      <c r="R193">
        <v>0</v>
      </c>
      <c r="S193" t="s">
        <v>704</v>
      </c>
      <c r="T193">
        <v>0</v>
      </c>
      <c r="U193">
        <v>0</v>
      </c>
      <c r="V193" t="s">
        <v>668</v>
      </c>
    </row>
    <row r="194" spans="1:22" x14ac:dyDescent="0.25">
      <c r="A194" t="s">
        <v>908</v>
      </c>
      <c r="B194" t="s">
        <v>124</v>
      </c>
      <c r="C194" t="s">
        <v>33</v>
      </c>
      <c r="D194" t="s">
        <v>701</v>
      </c>
      <c r="E194" t="str" cm="1">
        <f t="array" ref="E194">_xlfn.IFS(T194=0, "Performing", T194&lt;=30, "Watch", T194&lt;=90, "Substandard", T194&gt;90, "Non-Performing")</f>
        <v>Performing</v>
      </c>
      <c r="F194" t="s">
        <v>659</v>
      </c>
      <c r="I194" t="s">
        <v>671</v>
      </c>
      <c r="J194" s="20">
        <v>45260</v>
      </c>
      <c r="K194">
        <f t="shared" ref="K194:K201" si="18">IF(J194 &gt; L194, 0, DATEDIF(J194, L194, "m"))</f>
        <v>5</v>
      </c>
      <c r="L194" s="22">
        <v>45440</v>
      </c>
      <c r="M194" s="28">
        <f t="shared" ref="M194:M201" ca="1" si="19">MAX(0, L194 - TODAY())</f>
        <v>0</v>
      </c>
      <c r="N194">
        <v>6</v>
      </c>
      <c r="O194" s="26">
        <f t="shared" ref="O194:O201" si="20">EDATE(J194, N194)</f>
        <v>45442</v>
      </c>
      <c r="P194">
        <v>2392000000</v>
      </c>
      <c r="Q194">
        <v>19.399999999999999</v>
      </c>
      <c r="R194">
        <v>0</v>
      </c>
      <c r="S194" t="s">
        <v>704</v>
      </c>
      <c r="T194">
        <v>0</v>
      </c>
      <c r="U194">
        <v>0</v>
      </c>
      <c r="V194" t="s">
        <v>714</v>
      </c>
    </row>
    <row r="195" spans="1:22" x14ac:dyDescent="0.25">
      <c r="A195" t="s">
        <v>909</v>
      </c>
      <c r="B195" t="s">
        <v>506</v>
      </c>
      <c r="C195" t="s">
        <v>73</v>
      </c>
      <c r="D195" t="s">
        <v>722</v>
      </c>
      <c r="E195" t="str" cm="1">
        <f t="array" ref="E195">_xlfn.IFS(T195=0, "Performing", T195&lt;=30, "Watch", T195&lt;=90, "Substandard", T195&gt;90, "Non-Performing")</f>
        <v>Performing</v>
      </c>
      <c r="F195" t="s">
        <v>679</v>
      </c>
      <c r="I195" t="s">
        <v>674</v>
      </c>
      <c r="J195" s="20">
        <v>44420</v>
      </c>
      <c r="K195">
        <f t="shared" si="18"/>
        <v>63</v>
      </c>
      <c r="L195" s="22">
        <v>46338</v>
      </c>
      <c r="M195" s="28">
        <f t="shared" ca="1" si="19"/>
        <v>185</v>
      </c>
      <c r="N195">
        <v>60</v>
      </c>
      <c r="O195" s="26">
        <f t="shared" si="20"/>
        <v>46246</v>
      </c>
      <c r="P195">
        <v>3789000000</v>
      </c>
      <c r="Q195">
        <v>18.7</v>
      </c>
      <c r="R195">
        <v>0</v>
      </c>
      <c r="S195" t="s">
        <v>704</v>
      </c>
      <c r="T195">
        <v>0</v>
      </c>
      <c r="U195">
        <v>0</v>
      </c>
      <c r="V195" t="s">
        <v>714</v>
      </c>
    </row>
    <row r="196" spans="1:22" x14ac:dyDescent="0.25">
      <c r="A196" t="s">
        <v>914</v>
      </c>
      <c r="B196" t="s">
        <v>154</v>
      </c>
      <c r="C196" t="s">
        <v>73</v>
      </c>
      <c r="D196" t="s">
        <v>682</v>
      </c>
      <c r="E196" t="str" cm="1">
        <f t="array" ref="E196">_xlfn.IFS(T196=0, "Performing", T196&lt;=30, "Watch", T196&lt;=90, "Substandard", T196&gt;90, "Non-Performing")</f>
        <v>Performing</v>
      </c>
      <c r="F196" t="s">
        <v>718</v>
      </c>
      <c r="I196" t="s">
        <v>680</v>
      </c>
      <c r="J196" s="20">
        <v>45014</v>
      </c>
      <c r="K196">
        <f t="shared" si="18"/>
        <v>17</v>
      </c>
      <c r="L196" s="22">
        <v>45554</v>
      </c>
      <c r="M196" s="28">
        <f t="shared" ca="1" si="19"/>
        <v>0</v>
      </c>
      <c r="N196">
        <v>18</v>
      </c>
      <c r="O196" s="26">
        <f t="shared" si="20"/>
        <v>45564</v>
      </c>
      <c r="P196">
        <v>254000000</v>
      </c>
      <c r="Q196">
        <v>24.8</v>
      </c>
      <c r="R196">
        <v>0</v>
      </c>
      <c r="S196" t="s">
        <v>704</v>
      </c>
      <c r="T196">
        <v>0</v>
      </c>
      <c r="U196">
        <v>0</v>
      </c>
      <c r="V196" t="s">
        <v>668</v>
      </c>
    </row>
    <row r="197" spans="1:22" x14ac:dyDescent="0.25">
      <c r="A197" t="s">
        <v>915</v>
      </c>
      <c r="B197" t="s">
        <v>148</v>
      </c>
      <c r="C197" t="s">
        <v>53</v>
      </c>
      <c r="D197" t="s">
        <v>664</v>
      </c>
      <c r="E197" t="str" cm="1">
        <f t="array" ref="E197">_xlfn.IFS(T197=0, "Performing", T197&lt;=30, "Watch", T197&lt;=90, "Substandard", T197&gt;90, "Non-Performing")</f>
        <v>Performing</v>
      </c>
      <c r="F197" t="s">
        <v>709</v>
      </c>
      <c r="I197" t="s">
        <v>695</v>
      </c>
      <c r="J197" s="20">
        <v>45376</v>
      </c>
      <c r="K197">
        <f t="shared" si="18"/>
        <v>5</v>
      </c>
      <c r="L197" s="22">
        <v>45556</v>
      </c>
      <c r="M197" s="28">
        <f t="shared" ca="1" si="19"/>
        <v>0</v>
      </c>
      <c r="N197">
        <v>6</v>
      </c>
      <c r="O197" s="26">
        <f t="shared" si="20"/>
        <v>45560</v>
      </c>
      <c r="P197">
        <v>393000000</v>
      </c>
      <c r="Q197">
        <v>19.100000000000001</v>
      </c>
      <c r="R197">
        <v>0</v>
      </c>
      <c r="S197" t="s">
        <v>704</v>
      </c>
      <c r="T197">
        <v>0</v>
      </c>
      <c r="U197">
        <v>0</v>
      </c>
      <c r="V197" t="s">
        <v>702</v>
      </c>
    </row>
    <row r="198" spans="1:22" x14ac:dyDescent="0.25">
      <c r="A198" t="s">
        <v>916</v>
      </c>
      <c r="B198" t="s">
        <v>198</v>
      </c>
      <c r="C198" t="s">
        <v>73</v>
      </c>
      <c r="D198" t="s">
        <v>752</v>
      </c>
      <c r="E198" t="str" cm="1">
        <f t="array" ref="E198">_xlfn.IFS(T198=0, "Performing", T198&lt;=30, "Watch", T198&lt;=90, "Substandard", T198&gt;90, "Non-Performing")</f>
        <v>Performing</v>
      </c>
      <c r="F198" t="s">
        <v>711</v>
      </c>
      <c r="I198" t="s">
        <v>671</v>
      </c>
      <c r="J198" s="20">
        <v>45048</v>
      </c>
      <c r="K198">
        <f t="shared" si="18"/>
        <v>8</v>
      </c>
      <c r="L198" s="22">
        <v>45322</v>
      </c>
      <c r="M198" s="28">
        <f t="shared" ca="1" si="19"/>
        <v>0</v>
      </c>
      <c r="N198">
        <v>12</v>
      </c>
      <c r="O198" s="26">
        <f t="shared" si="20"/>
        <v>45414</v>
      </c>
      <c r="P198">
        <v>49000000</v>
      </c>
      <c r="Q198">
        <v>24.4</v>
      </c>
      <c r="R198">
        <v>0</v>
      </c>
      <c r="S198" t="s">
        <v>704</v>
      </c>
      <c r="T198">
        <v>0</v>
      </c>
      <c r="U198">
        <v>0</v>
      </c>
      <c r="V198" t="s">
        <v>668</v>
      </c>
    </row>
    <row r="199" spans="1:22" x14ac:dyDescent="0.25">
      <c r="A199" t="s">
        <v>921</v>
      </c>
      <c r="B199" t="s">
        <v>635</v>
      </c>
      <c r="C199" t="s">
        <v>53</v>
      </c>
      <c r="D199" t="s">
        <v>686</v>
      </c>
      <c r="E199" t="str" cm="1">
        <f t="array" ref="E199">_xlfn.IFS(T199=0, "Performing", T199&lt;=30, "Watch", T199&lt;=90, "Substandard", T199&gt;90, "Non-Performing")</f>
        <v>Performing</v>
      </c>
      <c r="F199" t="s">
        <v>111</v>
      </c>
      <c r="I199" t="s">
        <v>660</v>
      </c>
      <c r="J199" s="20">
        <v>44518</v>
      </c>
      <c r="K199">
        <f t="shared" si="18"/>
        <v>5</v>
      </c>
      <c r="L199" s="22">
        <v>44698</v>
      </c>
      <c r="M199" s="28">
        <f t="shared" ca="1" si="19"/>
        <v>0</v>
      </c>
      <c r="N199">
        <v>6</v>
      </c>
      <c r="O199" s="26">
        <f t="shared" si="20"/>
        <v>44699</v>
      </c>
      <c r="P199">
        <v>400000000</v>
      </c>
      <c r="Q199">
        <v>22.8</v>
      </c>
      <c r="R199">
        <v>0</v>
      </c>
      <c r="S199" t="s">
        <v>747</v>
      </c>
      <c r="T199">
        <v>0</v>
      </c>
      <c r="U199">
        <v>0</v>
      </c>
      <c r="V199" t="s">
        <v>714</v>
      </c>
    </row>
    <row r="200" spans="1:22" x14ac:dyDescent="0.25">
      <c r="A200" t="s">
        <v>923</v>
      </c>
      <c r="B200" t="s">
        <v>457</v>
      </c>
      <c r="C200" t="s">
        <v>46</v>
      </c>
      <c r="D200" t="s">
        <v>678</v>
      </c>
      <c r="E200" t="str" cm="1">
        <f t="array" ref="E200">_xlfn.IFS(T200=0, "Performing", T200&lt;=30, "Watch", T200&lt;=90, "Substandard", T200&gt;90, "Non-Performing")</f>
        <v>Performing</v>
      </c>
      <c r="F200" t="s">
        <v>760</v>
      </c>
      <c r="I200" t="s">
        <v>683</v>
      </c>
      <c r="J200" s="20">
        <v>45181</v>
      </c>
      <c r="K200">
        <f t="shared" si="18"/>
        <v>6</v>
      </c>
      <c r="L200" s="22">
        <v>45363</v>
      </c>
      <c r="M200" s="28">
        <f t="shared" ca="1" si="19"/>
        <v>0</v>
      </c>
      <c r="N200">
        <v>12</v>
      </c>
      <c r="O200" s="26">
        <f t="shared" si="20"/>
        <v>45547</v>
      </c>
      <c r="P200">
        <v>1689000000</v>
      </c>
      <c r="Q200">
        <v>27.1</v>
      </c>
      <c r="R200">
        <v>0</v>
      </c>
      <c r="S200" t="s">
        <v>704</v>
      </c>
      <c r="T200">
        <v>0</v>
      </c>
      <c r="U200">
        <v>0</v>
      </c>
      <c r="V200" t="s">
        <v>702</v>
      </c>
    </row>
    <row r="201" spans="1:22" x14ac:dyDescent="0.25">
      <c r="A201" t="s">
        <v>931</v>
      </c>
      <c r="B201" t="s">
        <v>210</v>
      </c>
      <c r="C201" t="s">
        <v>67</v>
      </c>
      <c r="D201" t="s">
        <v>707</v>
      </c>
      <c r="E201" t="str" cm="1">
        <f t="array" ref="E201">_xlfn.IFS(T201=0, "Performing", T201&lt;=30, "Watch", T201&lt;=90, "Substandard", T201&gt;90, "Non-Performing")</f>
        <v>Performing</v>
      </c>
      <c r="F201" t="s">
        <v>679</v>
      </c>
      <c r="I201" t="s">
        <v>745</v>
      </c>
      <c r="J201" s="20">
        <v>44546</v>
      </c>
      <c r="K201">
        <f t="shared" si="18"/>
        <v>20</v>
      </c>
      <c r="L201" s="22">
        <v>45175</v>
      </c>
      <c r="M201" s="28">
        <f t="shared" ca="1" si="19"/>
        <v>0</v>
      </c>
      <c r="N201">
        <v>18</v>
      </c>
      <c r="O201" s="26">
        <f t="shared" si="20"/>
        <v>45093</v>
      </c>
      <c r="P201">
        <v>37000000</v>
      </c>
      <c r="Q201">
        <v>26.2</v>
      </c>
      <c r="R201">
        <v>0</v>
      </c>
      <c r="S201" t="s">
        <v>704</v>
      </c>
      <c r="T201">
        <v>0</v>
      </c>
      <c r="U201">
        <v>0</v>
      </c>
      <c r="V201" t="s">
        <v>676</v>
      </c>
    </row>
  </sheetData>
  <autoFilter ref="A1:V201" xr:uid="{00000000-0009-0000-0000-000003000000}">
    <sortState xmlns:xlrd2="http://schemas.microsoft.com/office/spreadsheetml/2017/richdata2" ref="A2:V201">
      <sortCondition descending="1" ref="R2:R201"/>
    </sortState>
  </autoFilter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4A261"/>
  </sheetPr>
  <dimension ref="A1:I401"/>
  <sheetViews>
    <sheetView topLeftCell="B1" workbookViewId="0">
      <pane ySplit="1" topLeftCell="A2" activePane="bottomLeft" state="frozen"/>
      <selection pane="bottomLeft" activeCell="C26" sqref="C26"/>
    </sheetView>
  </sheetViews>
  <sheetFormatPr defaultRowHeight="15" x14ac:dyDescent="0.25"/>
  <cols>
    <col min="1" max="1" width="20.28515625" bestFit="1" customWidth="1"/>
    <col min="2" max="2" width="13.85546875" bestFit="1" customWidth="1"/>
    <col min="3" max="3" width="20.140625" bestFit="1" customWidth="1"/>
    <col min="4" max="4" width="26" bestFit="1" customWidth="1"/>
    <col min="5" max="5" width="23.42578125" bestFit="1" customWidth="1"/>
    <col min="6" max="6" width="22.140625" bestFit="1" customWidth="1"/>
    <col min="7" max="7" width="23.42578125" bestFit="1" customWidth="1"/>
    <col min="8" max="8" width="19.42578125" bestFit="1" customWidth="1"/>
    <col min="9" max="9" width="22.140625" bestFit="1" customWidth="1"/>
  </cols>
  <sheetData>
    <row r="1" spans="1:9" ht="30" x14ac:dyDescent="0.25">
      <c r="A1" s="6" t="s">
        <v>935</v>
      </c>
      <c r="B1" s="6" t="s">
        <v>643</v>
      </c>
      <c r="C1" s="6" t="s">
        <v>936</v>
      </c>
      <c r="D1" s="6" t="s">
        <v>937</v>
      </c>
      <c r="E1" s="6" t="s">
        <v>938</v>
      </c>
      <c r="F1" s="6" t="s">
        <v>939</v>
      </c>
      <c r="G1" s="6" t="s">
        <v>940</v>
      </c>
      <c r="H1" s="6" t="s">
        <v>941</v>
      </c>
      <c r="I1" s="6" t="s">
        <v>942</v>
      </c>
    </row>
    <row r="2" spans="1:9" x14ac:dyDescent="0.25">
      <c r="A2" t="s">
        <v>943</v>
      </c>
      <c r="B2" t="s">
        <v>842</v>
      </c>
      <c r="C2" t="s">
        <v>944</v>
      </c>
      <c r="D2">
        <v>3000000</v>
      </c>
      <c r="E2">
        <v>100000</v>
      </c>
      <c r="F2">
        <v>3100000</v>
      </c>
      <c r="G2">
        <v>3100000</v>
      </c>
      <c r="H2" t="s">
        <v>945</v>
      </c>
      <c r="I2" t="s">
        <v>946</v>
      </c>
    </row>
    <row r="3" spans="1:9" x14ac:dyDescent="0.25">
      <c r="A3" t="s">
        <v>947</v>
      </c>
      <c r="B3" t="s">
        <v>800</v>
      </c>
      <c r="C3" t="s">
        <v>948</v>
      </c>
      <c r="D3">
        <v>2500000</v>
      </c>
      <c r="E3">
        <v>0</v>
      </c>
      <c r="F3">
        <v>2500000</v>
      </c>
      <c r="G3">
        <v>2500000</v>
      </c>
      <c r="H3" t="s">
        <v>945</v>
      </c>
      <c r="I3" t="s">
        <v>949</v>
      </c>
    </row>
    <row r="4" spans="1:9" x14ac:dyDescent="0.25">
      <c r="A4" t="s">
        <v>950</v>
      </c>
      <c r="B4" t="s">
        <v>819</v>
      </c>
      <c r="C4" t="s">
        <v>951</v>
      </c>
      <c r="D4">
        <v>2800000</v>
      </c>
      <c r="E4">
        <v>0</v>
      </c>
      <c r="F4">
        <v>2800000</v>
      </c>
      <c r="G4">
        <v>0</v>
      </c>
      <c r="H4" t="s">
        <v>952</v>
      </c>
      <c r="I4" t="s">
        <v>953</v>
      </c>
    </row>
    <row r="5" spans="1:9" x14ac:dyDescent="0.25">
      <c r="A5" t="s">
        <v>954</v>
      </c>
      <c r="B5" t="s">
        <v>884</v>
      </c>
      <c r="C5" t="s">
        <v>955</v>
      </c>
      <c r="D5">
        <v>4300000</v>
      </c>
      <c r="E5">
        <v>0</v>
      </c>
      <c r="F5">
        <v>4300000</v>
      </c>
      <c r="G5">
        <v>0</v>
      </c>
      <c r="H5" t="s">
        <v>956</v>
      </c>
      <c r="I5" t="s">
        <v>957</v>
      </c>
    </row>
    <row r="6" spans="1:9" x14ac:dyDescent="0.25">
      <c r="A6" t="s">
        <v>958</v>
      </c>
      <c r="B6" t="s">
        <v>774</v>
      </c>
      <c r="C6" t="s">
        <v>959</v>
      </c>
      <c r="D6">
        <v>2300000</v>
      </c>
      <c r="E6">
        <v>0</v>
      </c>
      <c r="F6">
        <v>2300000</v>
      </c>
      <c r="G6">
        <v>2300000</v>
      </c>
      <c r="H6" t="s">
        <v>945</v>
      </c>
      <c r="I6" t="s">
        <v>960</v>
      </c>
    </row>
    <row r="7" spans="1:9" x14ac:dyDescent="0.25">
      <c r="A7" t="s">
        <v>961</v>
      </c>
      <c r="B7" t="s">
        <v>893</v>
      </c>
      <c r="C7" t="s">
        <v>962</v>
      </c>
      <c r="D7">
        <v>1600000</v>
      </c>
      <c r="E7">
        <v>0</v>
      </c>
      <c r="F7">
        <v>1600000</v>
      </c>
      <c r="G7">
        <v>1600000</v>
      </c>
      <c r="H7" t="s">
        <v>945</v>
      </c>
      <c r="I7" t="s">
        <v>963</v>
      </c>
    </row>
    <row r="8" spans="1:9" x14ac:dyDescent="0.25">
      <c r="A8" t="s">
        <v>964</v>
      </c>
      <c r="B8" t="s">
        <v>813</v>
      </c>
      <c r="C8" t="s">
        <v>965</v>
      </c>
      <c r="D8">
        <v>600000</v>
      </c>
      <c r="E8">
        <v>0</v>
      </c>
      <c r="F8">
        <v>600000</v>
      </c>
      <c r="G8">
        <v>0</v>
      </c>
      <c r="H8" t="s">
        <v>952</v>
      </c>
    </row>
    <row r="9" spans="1:9" x14ac:dyDescent="0.25">
      <c r="A9" t="s">
        <v>966</v>
      </c>
      <c r="B9" t="s">
        <v>884</v>
      </c>
      <c r="C9" t="s">
        <v>967</v>
      </c>
      <c r="D9">
        <v>3400000</v>
      </c>
      <c r="E9">
        <v>0</v>
      </c>
      <c r="F9">
        <v>3400000</v>
      </c>
      <c r="G9">
        <v>1500000</v>
      </c>
      <c r="H9" t="s">
        <v>968</v>
      </c>
      <c r="I9" t="s">
        <v>946</v>
      </c>
    </row>
    <row r="10" spans="1:9" x14ac:dyDescent="0.25">
      <c r="A10" t="s">
        <v>969</v>
      </c>
      <c r="B10" t="s">
        <v>741</v>
      </c>
      <c r="C10" t="s">
        <v>970</v>
      </c>
      <c r="D10">
        <v>1300000</v>
      </c>
      <c r="E10">
        <v>0</v>
      </c>
      <c r="F10">
        <v>1300000</v>
      </c>
      <c r="G10">
        <v>0</v>
      </c>
      <c r="H10" t="s">
        <v>952</v>
      </c>
      <c r="I10" t="s">
        <v>960</v>
      </c>
    </row>
    <row r="11" spans="1:9" x14ac:dyDescent="0.25">
      <c r="A11" t="s">
        <v>971</v>
      </c>
      <c r="B11" t="s">
        <v>807</v>
      </c>
      <c r="C11" t="s">
        <v>972</v>
      </c>
      <c r="D11">
        <v>2200000</v>
      </c>
      <c r="E11">
        <v>0</v>
      </c>
      <c r="F11">
        <v>2200000</v>
      </c>
      <c r="G11">
        <v>800000</v>
      </c>
      <c r="H11" t="s">
        <v>968</v>
      </c>
      <c r="I11" t="s">
        <v>973</v>
      </c>
    </row>
    <row r="12" spans="1:9" x14ac:dyDescent="0.25">
      <c r="A12" t="s">
        <v>974</v>
      </c>
      <c r="B12" t="s">
        <v>884</v>
      </c>
      <c r="C12" t="s">
        <v>975</v>
      </c>
      <c r="D12">
        <v>1600000</v>
      </c>
      <c r="E12">
        <v>0</v>
      </c>
      <c r="F12">
        <v>1600000</v>
      </c>
      <c r="G12">
        <v>1600000</v>
      </c>
      <c r="H12" t="s">
        <v>945</v>
      </c>
      <c r="I12" t="s">
        <v>960</v>
      </c>
    </row>
    <row r="13" spans="1:9" x14ac:dyDescent="0.25">
      <c r="A13" t="s">
        <v>976</v>
      </c>
      <c r="B13" t="s">
        <v>892</v>
      </c>
      <c r="C13" t="s">
        <v>977</v>
      </c>
      <c r="D13">
        <v>1000000</v>
      </c>
      <c r="E13">
        <v>0</v>
      </c>
      <c r="F13">
        <v>1000000</v>
      </c>
      <c r="G13">
        <v>-1000000</v>
      </c>
      <c r="H13" t="s">
        <v>945</v>
      </c>
      <c r="I13" t="s">
        <v>963</v>
      </c>
    </row>
    <row r="14" spans="1:9" x14ac:dyDescent="0.25">
      <c r="A14" t="s">
        <v>978</v>
      </c>
      <c r="B14" t="s">
        <v>860</v>
      </c>
      <c r="C14" t="s">
        <v>979</v>
      </c>
      <c r="D14">
        <v>700000</v>
      </c>
      <c r="E14">
        <v>0</v>
      </c>
      <c r="F14">
        <v>700000</v>
      </c>
      <c r="G14">
        <v>700000</v>
      </c>
      <c r="H14" t="s">
        <v>945</v>
      </c>
      <c r="I14" t="s">
        <v>946</v>
      </c>
    </row>
    <row r="15" spans="1:9" x14ac:dyDescent="0.25">
      <c r="A15" t="s">
        <v>980</v>
      </c>
      <c r="B15" t="s">
        <v>848</v>
      </c>
      <c r="C15" t="s">
        <v>981</v>
      </c>
      <c r="D15">
        <v>1000000</v>
      </c>
      <c r="E15">
        <v>0</v>
      </c>
      <c r="F15">
        <v>1000000</v>
      </c>
      <c r="G15">
        <v>0</v>
      </c>
      <c r="H15" t="s">
        <v>952</v>
      </c>
      <c r="I15" t="s">
        <v>957</v>
      </c>
    </row>
    <row r="16" spans="1:9" x14ac:dyDescent="0.25">
      <c r="A16" t="s">
        <v>982</v>
      </c>
      <c r="B16" t="s">
        <v>769</v>
      </c>
      <c r="C16" t="s">
        <v>983</v>
      </c>
      <c r="D16">
        <v>2200000</v>
      </c>
      <c r="E16">
        <v>0</v>
      </c>
      <c r="F16">
        <v>2200000</v>
      </c>
      <c r="G16">
        <v>2200000</v>
      </c>
      <c r="H16" t="s">
        <v>945</v>
      </c>
      <c r="I16" t="s">
        <v>953</v>
      </c>
    </row>
    <row r="17" spans="1:9" x14ac:dyDescent="0.25">
      <c r="A17" t="s">
        <v>984</v>
      </c>
      <c r="B17" t="s">
        <v>834</v>
      </c>
      <c r="C17" t="s">
        <v>985</v>
      </c>
      <c r="D17">
        <v>1500000</v>
      </c>
      <c r="E17">
        <v>0</v>
      </c>
      <c r="F17">
        <v>1500000</v>
      </c>
      <c r="G17">
        <v>0</v>
      </c>
      <c r="H17" t="s">
        <v>952</v>
      </c>
    </row>
    <row r="18" spans="1:9" x14ac:dyDescent="0.25">
      <c r="A18" t="s">
        <v>986</v>
      </c>
      <c r="B18" t="s">
        <v>725</v>
      </c>
      <c r="C18" t="s">
        <v>987</v>
      </c>
      <c r="D18">
        <v>1600000</v>
      </c>
      <c r="E18">
        <v>0</v>
      </c>
      <c r="F18">
        <v>1600000</v>
      </c>
      <c r="G18">
        <v>1600000</v>
      </c>
      <c r="H18" t="s">
        <v>945</v>
      </c>
      <c r="I18" t="s">
        <v>957</v>
      </c>
    </row>
    <row r="19" spans="1:9" x14ac:dyDescent="0.25">
      <c r="A19" t="s">
        <v>988</v>
      </c>
      <c r="B19" t="s">
        <v>719</v>
      </c>
      <c r="C19" t="s">
        <v>989</v>
      </c>
      <c r="D19">
        <v>4600000</v>
      </c>
      <c r="E19">
        <v>100000</v>
      </c>
      <c r="F19">
        <v>4700000</v>
      </c>
      <c r="G19">
        <v>4700000</v>
      </c>
      <c r="H19" t="s">
        <v>945</v>
      </c>
      <c r="I19" t="s">
        <v>973</v>
      </c>
    </row>
    <row r="20" spans="1:9" x14ac:dyDescent="0.25">
      <c r="A20" t="s">
        <v>990</v>
      </c>
      <c r="B20" t="s">
        <v>814</v>
      </c>
      <c r="C20" t="s">
        <v>991</v>
      </c>
      <c r="D20">
        <v>1500000</v>
      </c>
      <c r="E20">
        <v>0</v>
      </c>
      <c r="F20">
        <v>1500000</v>
      </c>
      <c r="G20">
        <v>1500000</v>
      </c>
      <c r="H20" t="s">
        <v>945</v>
      </c>
      <c r="I20" t="s">
        <v>949</v>
      </c>
    </row>
    <row r="21" spans="1:9" x14ac:dyDescent="0.25">
      <c r="A21" t="s">
        <v>992</v>
      </c>
      <c r="B21" t="s">
        <v>812</v>
      </c>
      <c r="C21" t="s">
        <v>993</v>
      </c>
      <c r="D21">
        <v>1700000</v>
      </c>
      <c r="E21">
        <v>0</v>
      </c>
      <c r="F21">
        <v>1700000</v>
      </c>
      <c r="G21">
        <v>1700000</v>
      </c>
      <c r="H21" t="s">
        <v>945</v>
      </c>
      <c r="I21" t="s">
        <v>963</v>
      </c>
    </row>
    <row r="22" spans="1:9" x14ac:dyDescent="0.25">
      <c r="A22" t="s">
        <v>994</v>
      </c>
      <c r="B22" t="s">
        <v>725</v>
      </c>
      <c r="C22" t="s">
        <v>858</v>
      </c>
      <c r="D22">
        <v>1100000</v>
      </c>
      <c r="E22">
        <v>0</v>
      </c>
      <c r="F22">
        <v>1100000</v>
      </c>
      <c r="G22">
        <v>1100000</v>
      </c>
      <c r="H22" t="s">
        <v>945</v>
      </c>
      <c r="I22" t="s">
        <v>973</v>
      </c>
    </row>
    <row r="23" spans="1:9" x14ac:dyDescent="0.25">
      <c r="A23" t="s">
        <v>995</v>
      </c>
      <c r="B23" t="s">
        <v>829</v>
      </c>
      <c r="C23" t="s">
        <v>996</v>
      </c>
      <c r="D23">
        <v>3900000</v>
      </c>
      <c r="E23">
        <v>0</v>
      </c>
      <c r="F23">
        <v>3900000</v>
      </c>
      <c r="G23">
        <v>2800000</v>
      </c>
      <c r="H23" t="s">
        <v>968</v>
      </c>
      <c r="I23" t="s">
        <v>957</v>
      </c>
    </row>
    <row r="24" spans="1:9" x14ac:dyDescent="0.25">
      <c r="A24" t="s">
        <v>997</v>
      </c>
      <c r="B24" t="s">
        <v>739</v>
      </c>
      <c r="C24" t="s">
        <v>998</v>
      </c>
      <c r="D24">
        <v>5700000</v>
      </c>
      <c r="E24">
        <v>100000</v>
      </c>
      <c r="F24">
        <v>5800000</v>
      </c>
      <c r="G24">
        <v>5800000</v>
      </c>
      <c r="H24" t="s">
        <v>945</v>
      </c>
      <c r="I24" t="s">
        <v>946</v>
      </c>
    </row>
    <row r="25" spans="1:9" x14ac:dyDescent="0.25">
      <c r="A25" t="s">
        <v>999</v>
      </c>
      <c r="B25" t="s">
        <v>739</v>
      </c>
      <c r="C25" t="s">
        <v>808</v>
      </c>
      <c r="D25">
        <v>800000</v>
      </c>
      <c r="E25">
        <v>0</v>
      </c>
      <c r="F25">
        <v>800000</v>
      </c>
      <c r="G25">
        <v>800000</v>
      </c>
      <c r="H25" t="s">
        <v>945</v>
      </c>
      <c r="I25" t="s">
        <v>973</v>
      </c>
    </row>
    <row r="26" spans="1:9" x14ac:dyDescent="0.25">
      <c r="A26" t="s">
        <v>1000</v>
      </c>
      <c r="B26" t="s">
        <v>888</v>
      </c>
      <c r="C26" t="s">
        <v>1001</v>
      </c>
      <c r="D26">
        <v>6100000</v>
      </c>
      <c r="E26">
        <v>100000</v>
      </c>
      <c r="F26">
        <v>6200000</v>
      </c>
      <c r="G26">
        <v>3900000</v>
      </c>
      <c r="H26" t="s">
        <v>968</v>
      </c>
      <c r="I26" t="s">
        <v>963</v>
      </c>
    </row>
    <row r="27" spans="1:9" x14ac:dyDescent="0.25">
      <c r="A27" t="s">
        <v>1002</v>
      </c>
      <c r="B27" t="s">
        <v>860</v>
      </c>
      <c r="C27" t="s">
        <v>1003</v>
      </c>
      <c r="D27">
        <v>3200000</v>
      </c>
      <c r="E27">
        <v>100000</v>
      </c>
      <c r="F27">
        <v>3300000</v>
      </c>
      <c r="G27">
        <v>0</v>
      </c>
      <c r="H27" t="s">
        <v>952</v>
      </c>
      <c r="I27" t="s">
        <v>963</v>
      </c>
    </row>
    <row r="28" spans="1:9" x14ac:dyDescent="0.25">
      <c r="A28" t="s">
        <v>1004</v>
      </c>
      <c r="B28" t="s">
        <v>796</v>
      </c>
      <c r="C28" t="s">
        <v>1005</v>
      </c>
      <c r="D28">
        <v>1300000</v>
      </c>
      <c r="E28">
        <v>0</v>
      </c>
      <c r="F28">
        <v>1300000</v>
      </c>
      <c r="G28">
        <v>1300000</v>
      </c>
      <c r="H28" t="s">
        <v>945</v>
      </c>
      <c r="I28" t="s">
        <v>946</v>
      </c>
    </row>
    <row r="29" spans="1:9" x14ac:dyDescent="0.25">
      <c r="A29" t="s">
        <v>1006</v>
      </c>
      <c r="B29" t="s">
        <v>905</v>
      </c>
      <c r="C29" t="s">
        <v>1007</v>
      </c>
      <c r="D29">
        <v>3500000</v>
      </c>
      <c r="E29">
        <v>100000</v>
      </c>
      <c r="F29">
        <v>3600000</v>
      </c>
      <c r="G29">
        <v>0</v>
      </c>
      <c r="H29" t="s">
        <v>952</v>
      </c>
      <c r="I29" t="s">
        <v>960</v>
      </c>
    </row>
    <row r="30" spans="1:9" x14ac:dyDescent="0.25">
      <c r="A30" t="s">
        <v>1008</v>
      </c>
      <c r="B30" t="s">
        <v>814</v>
      </c>
      <c r="C30" t="s">
        <v>1009</v>
      </c>
      <c r="D30">
        <v>1800000</v>
      </c>
      <c r="E30">
        <v>0</v>
      </c>
      <c r="F30">
        <v>1800000</v>
      </c>
      <c r="G30">
        <v>0</v>
      </c>
      <c r="H30" t="s">
        <v>952</v>
      </c>
      <c r="I30" t="s">
        <v>973</v>
      </c>
    </row>
    <row r="31" spans="1:9" x14ac:dyDescent="0.25">
      <c r="A31" t="s">
        <v>1010</v>
      </c>
      <c r="B31" t="s">
        <v>663</v>
      </c>
      <c r="C31" t="s">
        <v>1011</v>
      </c>
      <c r="D31">
        <v>1200000</v>
      </c>
      <c r="E31">
        <v>0</v>
      </c>
      <c r="F31">
        <v>1200000</v>
      </c>
      <c r="G31">
        <v>1200000</v>
      </c>
      <c r="H31" t="s">
        <v>945</v>
      </c>
      <c r="I31" t="s">
        <v>960</v>
      </c>
    </row>
    <row r="32" spans="1:9" x14ac:dyDescent="0.25">
      <c r="A32" t="s">
        <v>1012</v>
      </c>
      <c r="B32" t="s">
        <v>905</v>
      </c>
      <c r="C32" t="s">
        <v>1013</v>
      </c>
      <c r="D32">
        <v>6600000</v>
      </c>
      <c r="E32">
        <v>100000</v>
      </c>
      <c r="F32">
        <v>6700000</v>
      </c>
      <c r="G32">
        <v>6700000</v>
      </c>
      <c r="H32" t="s">
        <v>945</v>
      </c>
      <c r="I32" t="s">
        <v>957</v>
      </c>
    </row>
    <row r="33" spans="1:9" x14ac:dyDescent="0.25">
      <c r="A33" t="s">
        <v>1014</v>
      </c>
      <c r="B33" t="s">
        <v>785</v>
      </c>
      <c r="C33" t="s">
        <v>1015</v>
      </c>
      <c r="D33">
        <v>2900000</v>
      </c>
      <c r="E33">
        <v>0</v>
      </c>
      <c r="F33">
        <v>2900000</v>
      </c>
      <c r="G33">
        <v>2900000</v>
      </c>
      <c r="H33" t="s">
        <v>945</v>
      </c>
      <c r="I33" t="s">
        <v>973</v>
      </c>
    </row>
    <row r="34" spans="1:9" x14ac:dyDescent="0.25">
      <c r="A34" t="s">
        <v>1016</v>
      </c>
      <c r="B34" t="s">
        <v>677</v>
      </c>
      <c r="C34" t="s">
        <v>1017</v>
      </c>
      <c r="D34">
        <v>1800000</v>
      </c>
      <c r="E34">
        <v>0</v>
      </c>
      <c r="F34">
        <v>1800000</v>
      </c>
      <c r="G34">
        <v>1800000</v>
      </c>
      <c r="H34" t="s">
        <v>945</v>
      </c>
      <c r="I34" t="s">
        <v>957</v>
      </c>
    </row>
    <row r="35" spans="1:9" x14ac:dyDescent="0.25">
      <c r="A35" t="s">
        <v>1018</v>
      </c>
      <c r="B35" t="s">
        <v>933</v>
      </c>
      <c r="C35" t="s">
        <v>1019</v>
      </c>
      <c r="D35">
        <v>2900000</v>
      </c>
      <c r="E35">
        <v>0</v>
      </c>
      <c r="F35">
        <v>2900000</v>
      </c>
      <c r="G35">
        <v>2900000</v>
      </c>
      <c r="H35" t="s">
        <v>945</v>
      </c>
      <c r="I35" t="s">
        <v>957</v>
      </c>
    </row>
    <row r="36" spans="1:9" x14ac:dyDescent="0.25">
      <c r="A36" t="s">
        <v>1020</v>
      </c>
      <c r="B36" t="s">
        <v>860</v>
      </c>
      <c r="C36" t="s">
        <v>1021</v>
      </c>
      <c r="D36">
        <v>4100000</v>
      </c>
      <c r="E36">
        <v>100000</v>
      </c>
      <c r="F36">
        <v>4200000</v>
      </c>
      <c r="G36">
        <v>4200000</v>
      </c>
      <c r="H36" t="s">
        <v>945</v>
      </c>
      <c r="I36" t="s">
        <v>949</v>
      </c>
    </row>
    <row r="37" spans="1:9" x14ac:dyDescent="0.25">
      <c r="A37" t="s">
        <v>1022</v>
      </c>
      <c r="B37" t="s">
        <v>834</v>
      </c>
      <c r="C37" t="s">
        <v>1023</v>
      </c>
      <c r="D37">
        <v>2100000</v>
      </c>
      <c r="E37">
        <v>100000</v>
      </c>
      <c r="F37">
        <v>2200000</v>
      </c>
      <c r="G37">
        <v>0</v>
      </c>
      <c r="H37" t="s">
        <v>956</v>
      </c>
      <c r="I37" t="s">
        <v>949</v>
      </c>
    </row>
    <row r="38" spans="1:9" x14ac:dyDescent="0.25">
      <c r="A38" t="s">
        <v>1024</v>
      </c>
      <c r="B38" t="s">
        <v>697</v>
      </c>
      <c r="C38" t="s">
        <v>1025</v>
      </c>
      <c r="D38">
        <v>1200000</v>
      </c>
      <c r="E38">
        <v>0</v>
      </c>
      <c r="F38">
        <v>1200000</v>
      </c>
      <c r="G38">
        <v>0</v>
      </c>
      <c r="H38" t="s">
        <v>956</v>
      </c>
      <c r="I38" t="s">
        <v>973</v>
      </c>
    </row>
    <row r="39" spans="1:9" x14ac:dyDescent="0.25">
      <c r="A39" t="s">
        <v>1026</v>
      </c>
      <c r="B39" t="s">
        <v>896</v>
      </c>
      <c r="C39" t="s">
        <v>965</v>
      </c>
      <c r="D39">
        <v>800000</v>
      </c>
      <c r="E39">
        <v>0</v>
      </c>
      <c r="F39">
        <v>800000</v>
      </c>
      <c r="G39">
        <v>0</v>
      </c>
      <c r="H39" t="s">
        <v>956</v>
      </c>
      <c r="I39" t="s">
        <v>973</v>
      </c>
    </row>
    <row r="40" spans="1:9" x14ac:dyDescent="0.25">
      <c r="A40" t="s">
        <v>1027</v>
      </c>
      <c r="B40" t="s">
        <v>854</v>
      </c>
      <c r="C40" t="s">
        <v>1028</v>
      </c>
      <c r="D40">
        <v>1100000</v>
      </c>
      <c r="E40">
        <v>0</v>
      </c>
      <c r="F40">
        <v>1100000</v>
      </c>
      <c r="G40">
        <v>600000</v>
      </c>
      <c r="H40" t="s">
        <v>968</v>
      </c>
      <c r="I40" t="s">
        <v>973</v>
      </c>
    </row>
    <row r="41" spans="1:9" x14ac:dyDescent="0.25">
      <c r="A41" t="s">
        <v>1029</v>
      </c>
      <c r="B41" t="s">
        <v>837</v>
      </c>
      <c r="C41" t="s">
        <v>1030</v>
      </c>
      <c r="D41">
        <v>4500000</v>
      </c>
      <c r="E41">
        <v>100000</v>
      </c>
      <c r="F41">
        <v>4600000</v>
      </c>
      <c r="G41">
        <v>4600000</v>
      </c>
      <c r="H41" t="s">
        <v>945</v>
      </c>
      <c r="I41" t="s">
        <v>973</v>
      </c>
    </row>
    <row r="42" spans="1:9" x14ac:dyDescent="0.25">
      <c r="A42" t="s">
        <v>1031</v>
      </c>
      <c r="B42" t="s">
        <v>834</v>
      </c>
      <c r="C42" t="s">
        <v>1023</v>
      </c>
      <c r="D42">
        <v>600000</v>
      </c>
      <c r="E42">
        <v>0</v>
      </c>
      <c r="F42">
        <v>600000</v>
      </c>
      <c r="G42">
        <v>600000</v>
      </c>
      <c r="H42" t="s">
        <v>945</v>
      </c>
      <c r="I42" t="s">
        <v>946</v>
      </c>
    </row>
    <row r="43" spans="1:9" x14ac:dyDescent="0.25">
      <c r="A43" t="s">
        <v>1032</v>
      </c>
      <c r="B43" t="s">
        <v>754</v>
      </c>
      <c r="C43" t="s">
        <v>1033</v>
      </c>
      <c r="D43">
        <v>3200000</v>
      </c>
      <c r="E43">
        <v>100000</v>
      </c>
      <c r="F43">
        <v>3300000</v>
      </c>
      <c r="G43">
        <v>1900000</v>
      </c>
      <c r="H43" t="s">
        <v>968</v>
      </c>
      <c r="I43" t="s">
        <v>963</v>
      </c>
    </row>
    <row r="44" spans="1:9" x14ac:dyDescent="0.25">
      <c r="A44" t="s">
        <v>1034</v>
      </c>
      <c r="B44" t="s">
        <v>930</v>
      </c>
      <c r="C44" t="s">
        <v>1035</v>
      </c>
      <c r="D44">
        <v>400000</v>
      </c>
      <c r="E44">
        <v>0</v>
      </c>
      <c r="F44">
        <v>400000</v>
      </c>
      <c r="G44">
        <v>400000</v>
      </c>
      <c r="H44" t="s">
        <v>945</v>
      </c>
      <c r="I44" t="s">
        <v>960</v>
      </c>
    </row>
    <row r="45" spans="1:9" x14ac:dyDescent="0.25">
      <c r="A45" t="s">
        <v>1036</v>
      </c>
      <c r="B45" t="s">
        <v>778</v>
      </c>
      <c r="C45" t="s">
        <v>1037</v>
      </c>
      <c r="D45">
        <v>600000</v>
      </c>
      <c r="E45">
        <v>0</v>
      </c>
      <c r="F45">
        <v>600000</v>
      </c>
      <c r="G45">
        <v>600000</v>
      </c>
      <c r="H45" t="s">
        <v>945</v>
      </c>
      <c r="I45" t="s">
        <v>963</v>
      </c>
    </row>
    <row r="46" spans="1:9" x14ac:dyDescent="0.25">
      <c r="A46" t="s">
        <v>1038</v>
      </c>
      <c r="B46" t="s">
        <v>823</v>
      </c>
      <c r="C46" t="s">
        <v>1039</v>
      </c>
      <c r="D46">
        <v>1500000</v>
      </c>
      <c r="E46">
        <v>0</v>
      </c>
      <c r="F46">
        <v>1500000</v>
      </c>
      <c r="G46">
        <v>1500000</v>
      </c>
      <c r="H46" t="s">
        <v>945</v>
      </c>
    </row>
    <row r="47" spans="1:9" x14ac:dyDescent="0.25">
      <c r="A47" t="s">
        <v>1040</v>
      </c>
      <c r="B47" t="s">
        <v>860</v>
      </c>
      <c r="C47" t="s">
        <v>1041</v>
      </c>
      <c r="D47">
        <v>4200000</v>
      </c>
      <c r="E47">
        <v>100000</v>
      </c>
      <c r="F47">
        <v>4300000</v>
      </c>
      <c r="G47">
        <v>1400000</v>
      </c>
      <c r="H47" t="s">
        <v>968</v>
      </c>
      <c r="I47" t="s">
        <v>957</v>
      </c>
    </row>
    <row r="48" spans="1:9" x14ac:dyDescent="0.25">
      <c r="A48" t="s">
        <v>1042</v>
      </c>
      <c r="B48" t="s">
        <v>926</v>
      </c>
      <c r="C48" t="s">
        <v>1043</v>
      </c>
      <c r="D48">
        <v>5500000</v>
      </c>
      <c r="E48">
        <v>100000</v>
      </c>
      <c r="F48">
        <v>5600000</v>
      </c>
      <c r="G48">
        <v>5600000</v>
      </c>
      <c r="H48" t="s">
        <v>945</v>
      </c>
      <c r="I48" t="s">
        <v>973</v>
      </c>
    </row>
    <row r="49" spans="1:9" x14ac:dyDescent="0.25">
      <c r="A49" t="s">
        <v>1044</v>
      </c>
      <c r="B49" t="s">
        <v>912</v>
      </c>
      <c r="C49" t="s">
        <v>1045</v>
      </c>
      <c r="D49">
        <v>2200000</v>
      </c>
      <c r="E49">
        <v>0</v>
      </c>
      <c r="F49">
        <v>2200000</v>
      </c>
      <c r="G49">
        <v>2200000</v>
      </c>
      <c r="H49" t="s">
        <v>945</v>
      </c>
      <c r="I49" t="s">
        <v>960</v>
      </c>
    </row>
    <row r="50" spans="1:9" x14ac:dyDescent="0.25">
      <c r="A50" t="s">
        <v>1046</v>
      </c>
      <c r="B50" t="s">
        <v>764</v>
      </c>
      <c r="C50" t="s">
        <v>1047</v>
      </c>
      <c r="D50">
        <v>2500000</v>
      </c>
      <c r="E50">
        <v>100000</v>
      </c>
      <c r="F50">
        <v>2600000</v>
      </c>
      <c r="G50">
        <v>2600000</v>
      </c>
      <c r="H50" t="s">
        <v>945</v>
      </c>
      <c r="I50" t="s">
        <v>963</v>
      </c>
    </row>
    <row r="51" spans="1:9" x14ac:dyDescent="0.25">
      <c r="A51" t="s">
        <v>1048</v>
      </c>
      <c r="B51" t="s">
        <v>806</v>
      </c>
      <c r="C51" t="s">
        <v>1049</v>
      </c>
      <c r="D51">
        <v>1400000</v>
      </c>
      <c r="E51">
        <v>0</v>
      </c>
      <c r="F51">
        <v>1400000</v>
      </c>
      <c r="G51">
        <v>900000</v>
      </c>
      <c r="H51" t="s">
        <v>968</v>
      </c>
      <c r="I51" t="s">
        <v>946</v>
      </c>
    </row>
    <row r="52" spans="1:9" x14ac:dyDescent="0.25">
      <c r="A52" t="s">
        <v>1050</v>
      </c>
      <c r="B52" t="s">
        <v>917</v>
      </c>
      <c r="C52" t="s">
        <v>1051</v>
      </c>
      <c r="D52">
        <v>1000000</v>
      </c>
      <c r="E52">
        <v>0</v>
      </c>
      <c r="F52">
        <v>1000000</v>
      </c>
      <c r="G52">
        <v>1000000</v>
      </c>
      <c r="H52" t="s">
        <v>945</v>
      </c>
    </row>
    <row r="53" spans="1:9" x14ac:dyDescent="0.25">
      <c r="A53" t="s">
        <v>1052</v>
      </c>
      <c r="B53" t="s">
        <v>924</v>
      </c>
      <c r="C53" t="s">
        <v>1053</v>
      </c>
      <c r="D53">
        <v>2200000</v>
      </c>
      <c r="E53">
        <v>0</v>
      </c>
      <c r="F53">
        <v>2200000</v>
      </c>
      <c r="G53">
        <v>0</v>
      </c>
      <c r="H53" t="s">
        <v>956</v>
      </c>
      <c r="I53" t="s">
        <v>963</v>
      </c>
    </row>
    <row r="54" spans="1:9" x14ac:dyDescent="0.25">
      <c r="A54" t="s">
        <v>1054</v>
      </c>
      <c r="B54" t="s">
        <v>801</v>
      </c>
      <c r="C54" t="s">
        <v>1055</v>
      </c>
      <c r="D54">
        <v>800000</v>
      </c>
      <c r="E54">
        <v>0</v>
      </c>
      <c r="F54">
        <v>800000</v>
      </c>
      <c r="G54">
        <v>800000</v>
      </c>
      <c r="H54" t="s">
        <v>945</v>
      </c>
      <c r="I54" t="s">
        <v>963</v>
      </c>
    </row>
    <row r="55" spans="1:9" x14ac:dyDescent="0.25">
      <c r="A55" t="s">
        <v>1056</v>
      </c>
      <c r="B55" t="s">
        <v>860</v>
      </c>
      <c r="C55" t="s">
        <v>1057</v>
      </c>
      <c r="D55">
        <v>3900000</v>
      </c>
      <c r="E55">
        <v>100000</v>
      </c>
      <c r="F55">
        <v>4000000</v>
      </c>
      <c r="G55">
        <v>4000000</v>
      </c>
      <c r="H55" t="s">
        <v>945</v>
      </c>
      <c r="I55" t="s">
        <v>949</v>
      </c>
    </row>
    <row r="56" spans="1:9" x14ac:dyDescent="0.25">
      <c r="A56" t="s">
        <v>1058</v>
      </c>
      <c r="B56" t="s">
        <v>850</v>
      </c>
      <c r="C56" t="s">
        <v>1059</v>
      </c>
      <c r="D56">
        <v>200000</v>
      </c>
      <c r="E56">
        <v>0</v>
      </c>
      <c r="F56">
        <v>200000</v>
      </c>
      <c r="G56">
        <v>100000</v>
      </c>
      <c r="H56" t="s">
        <v>968</v>
      </c>
      <c r="I56" t="s">
        <v>963</v>
      </c>
    </row>
    <row r="57" spans="1:9" x14ac:dyDescent="0.25">
      <c r="A57" t="s">
        <v>1060</v>
      </c>
      <c r="B57" t="s">
        <v>871</v>
      </c>
      <c r="C57" t="s">
        <v>1061</v>
      </c>
      <c r="D57">
        <v>900000</v>
      </c>
      <c r="E57">
        <v>0</v>
      </c>
      <c r="F57">
        <v>900000</v>
      </c>
      <c r="G57">
        <v>900000</v>
      </c>
      <c r="H57" t="s">
        <v>945</v>
      </c>
      <c r="I57" t="s">
        <v>953</v>
      </c>
    </row>
    <row r="58" spans="1:9" x14ac:dyDescent="0.25">
      <c r="A58" t="s">
        <v>1062</v>
      </c>
      <c r="B58" t="s">
        <v>825</v>
      </c>
      <c r="C58" t="s">
        <v>1063</v>
      </c>
      <c r="D58">
        <v>4200000</v>
      </c>
      <c r="E58">
        <v>100000</v>
      </c>
      <c r="F58">
        <v>4300000</v>
      </c>
      <c r="G58">
        <v>4300000</v>
      </c>
      <c r="H58" t="s">
        <v>945</v>
      </c>
      <c r="I58" t="s">
        <v>946</v>
      </c>
    </row>
    <row r="59" spans="1:9" x14ac:dyDescent="0.25">
      <c r="A59" t="s">
        <v>1064</v>
      </c>
      <c r="B59" t="s">
        <v>751</v>
      </c>
      <c r="C59" t="s">
        <v>1065</v>
      </c>
      <c r="D59">
        <v>4200000</v>
      </c>
      <c r="E59">
        <v>100000</v>
      </c>
      <c r="F59">
        <v>4300000</v>
      </c>
      <c r="G59">
        <v>4300000</v>
      </c>
      <c r="H59" t="s">
        <v>945</v>
      </c>
      <c r="I59" t="s">
        <v>953</v>
      </c>
    </row>
    <row r="60" spans="1:9" x14ac:dyDescent="0.25">
      <c r="A60" t="s">
        <v>1066</v>
      </c>
      <c r="B60" t="s">
        <v>851</v>
      </c>
      <c r="C60" t="s">
        <v>1067</v>
      </c>
      <c r="D60">
        <v>4100000</v>
      </c>
      <c r="E60">
        <v>0</v>
      </c>
      <c r="F60">
        <v>4100000</v>
      </c>
      <c r="G60">
        <v>1300000</v>
      </c>
      <c r="H60" t="s">
        <v>968</v>
      </c>
      <c r="I60" t="s">
        <v>960</v>
      </c>
    </row>
    <row r="61" spans="1:9" x14ac:dyDescent="0.25">
      <c r="A61" t="s">
        <v>1068</v>
      </c>
      <c r="B61" t="s">
        <v>893</v>
      </c>
      <c r="C61" t="s">
        <v>1069</v>
      </c>
      <c r="D61">
        <v>500000</v>
      </c>
      <c r="E61">
        <v>0</v>
      </c>
      <c r="F61">
        <v>500000</v>
      </c>
      <c r="G61">
        <v>500000</v>
      </c>
      <c r="H61" t="s">
        <v>945</v>
      </c>
      <c r="I61" t="s">
        <v>973</v>
      </c>
    </row>
    <row r="62" spans="1:9" x14ac:dyDescent="0.25">
      <c r="A62" t="s">
        <v>1070</v>
      </c>
      <c r="B62" t="s">
        <v>777</v>
      </c>
      <c r="C62" t="s">
        <v>1071</v>
      </c>
      <c r="D62">
        <v>5900000</v>
      </c>
      <c r="E62">
        <v>100000</v>
      </c>
      <c r="F62">
        <v>6000000</v>
      </c>
      <c r="G62">
        <v>0</v>
      </c>
      <c r="H62" t="s">
        <v>952</v>
      </c>
      <c r="I62" t="s">
        <v>973</v>
      </c>
    </row>
    <row r="63" spans="1:9" x14ac:dyDescent="0.25">
      <c r="A63" t="s">
        <v>1072</v>
      </c>
      <c r="B63" t="s">
        <v>769</v>
      </c>
      <c r="C63" t="s">
        <v>1073</v>
      </c>
      <c r="D63">
        <v>1500000</v>
      </c>
      <c r="E63">
        <v>0</v>
      </c>
      <c r="F63">
        <v>1500000</v>
      </c>
      <c r="G63">
        <v>1500000</v>
      </c>
      <c r="H63" t="s">
        <v>945</v>
      </c>
      <c r="I63" t="s">
        <v>953</v>
      </c>
    </row>
    <row r="64" spans="1:9" x14ac:dyDescent="0.25">
      <c r="A64" t="s">
        <v>1074</v>
      </c>
      <c r="B64" t="s">
        <v>880</v>
      </c>
      <c r="C64" t="s">
        <v>1075</v>
      </c>
      <c r="D64">
        <v>1700000</v>
      </c>
      <c r="E64">
        <v>0</v>
      </c>
      <c r="F64">
        <v>1700000</v>
      </c>
      <c r="G64">
        <v>1700000</v>
      </c>
      <c r="H64" t="s">
        <v>945</v>
      </c>
      <c r="I64" t="s">
        <v>953</v>
      </c>
    </row>
    <row r="65" spans="1:9" x14ac:dyDescent="0.25">
      <c r="A65" t="s">
        <v>1076</v>
      </c>
      <c r="B65" t="s">
        <v>861</v>
      </c>
      <c r="C65" t="s">
        <v>1077</v>
      </c>
      <c r="D65">
        <v>3100000</v>
      </c>
      <c r="E65">
        <v>0</v>
      </c>
      <c r="F65">
        <v>3100000</v>
      </c>
      <c r="G65">
        <v>3100000</v>
      </c>
      <c r="H65" t="s">
        <v>945</v>
      </c>
      <c r="I65" t="s">
        <v>963</v>
      </c>
    </row>
    <row r="66" spans="1:9" x14ac:dyDescent="0.25">
      <c r="A66" t="s">
        <v>1078</v>
      </c>
      <c r="B66" t="s">
        <v>866</v>
      </c>
      <c r="C66" t="s">
        <v>1079</v>
      </c>
      <c r="D66">
        <v>800000</v>
      </c>
      <c r="E66">
        <v>0</v>
      </c>
      <c r="F66">
        <v>800000</v>
      </c>
      <c r="G66">
        <v>0</v>
      </c>
      <c r="H66" t="s">
        <v>956</v>
      </c>
      <c r="I66" t="s">
        <v>949</v>
      </c>
    </row>
    <row r="67" spans="1:9" x14ac:dyDescent="0.25">
      <c r="A67" t="s">
        <v>1080</v>
      </c>
      <c r="B67" t="s">
        <v>933</v>
      </c>
      <c r="C67" t="s">
        <v>1081</v>
      </c>
      <c r="D67">
        <v>4200000</v>
      </c>
      <c r="E67">
        <v>100000</v>
      </c>
      <c r="F67">
        <v>4300000</v>
      </c>
      <c r="G67">
        <v>4300000</v>
      </c>
      <c r="H67" t="s">
        <v>945</v>
      </c>
      <c r="I67" t="s">
        <v>973</v>
      </c>
    </row>
    <row r="68" spans="1:9" x14ac:dyDescent="0.25">
      <c r="A68" t="s">
        <v>1082</v>
      </c>
      <c r="B68" t="s">
        <v>819</v>
      </c>
      <c r="C68" t="s">
        <v>1083</v>
      </c>
      <c r="D68">
        <v>300000</v>
      </c>
      <c r="E68">
        <v>0</v>
      </c>
      <c r="F68">
        <v>300000</v>
      </c>
      <c r="G68">
        <v>0</v>
      </c>
      <c r="H68" t="s">
        <v>952</v>
      </c>
      <c r="I68" t="s">
        <v>949</v>
      </c>
    </row>
    <row r="69" spans="1:9" x14ac:dyDescent="0.25">
      <c r="A69" t="s">
        <v>1084</v>
      </c>
      <c r="B69" t="s">
        <v>685</v>
      </c>
      <c r="C69" t="s">
        <v>1085</v>
      </c>
      <c r="D69">
        <v>4600000</v>
      </c>
      <c r="E69">
        <v>100000</v>
      </c>
      <c r="F69">
        <v>4700000</v>
      </c>
      <c r="G69">
        <v>4700000</v>
      </c>
      <c r="H69" t="s">
        <v>945</v>
      </c>
      <c r="I69" t="s">
        <v>963</v>
      </c>
    </row>
    <row r="70" spans="1:9" x14ac:dyDescent="0.25">
      <c r="A70" t="s">
        <v>1086</v>
      </c>
      <c r="B70" t="s">
        <v>799</v>
      </c>
      <c r="C70" t="s">
        <v>1087</v>
      </c>
      <c r="D70">
        <v>2900000</v>
      </c>
      <c r="E70">
        <v>0</v>
      </c>
      <c r="F70">
        <v>2900000</v>
      </c>
      <c r="G70">
        <v>2900000</v>
      </c>
      <c r="H70" t="s">
        <v>945</v>
      </c>
      <c r="I70" t="s">
        <v>949</v>
      </c>
    </row>
    <row r="71" spans="1:9" x14ac:dyDescent="0.25">
      <c r="A71" t="s">
        <v>1088</v>
      </c>
      <c r="B71" t="s">
        <v>912</v>
      </c>
      <c r="C71" t="s">
        <v>1089</v>
      </c>
      <c r="D71">
        <v>2300000</v>
      </c>
      <c r="E71">
        <v>0</v>
      </c>
      <c r="F71">
        <v>2300000</v>
      </c>
      <c r="G71">
        <v>2300000</v>
      </c>
      <c r="H71" t="s">
        <v>945</v>
      </c>
      <c r="I71" t="s">
        <v>953</v>
      </c>
    </row>
    <row r="72" spans="1:9" x14ac:dyDescent="0.25">
      <c r="A72" t="s">
        <v>1090</v>
      </c>
      <c r="B72" t="s">
        <v>812</v>
      </c>
      <c r="C72" t="s">
        <v>1091</v>
      </c>
      <c r="D72">
        <v>1700000</v>
      </c>
      <c r="E72">
        <v>0</v>
      </c>
      <c r="F72">
        <v>1700000</v>
      </c>
      <c r="G72">
        <v>800000</v>
      </c>
      <c r="H72" t="s">
        <v>968</v>
      </c>
      <c r="I72" t="s">
        <v>946</v>
      </c>
    </row>
    <row r="73" spans="1:9" x14ac:dyDescent="0.25">
      <c r="A73" t="s">
        <v>1092</v>
      </c>
      <c r="B73" t="s">
        <v>799</v>
      </c>
      <c r="C73" t="s">
        <v>1093</v>
      </c>
      <c r="D73">
        <v>2000000</v>
      </c>
      <c r="E73">
        <v>0</v>
      </c>
      <c r="F73">
        <v>2000000</v>
      </c>
      <c r="G73">
        <v>2000000</v>
      </c>
      <c r="H73" t="s">
        <v>945</v>
      </c>
      <c r="I73" t="s">
        <v>953</v>
      </c>
    </row>
    <row r="74" spans="1:9" x14ac:dyDescent="0.25">
      <c r="A74" t="s">
        <v>1094</v>
      </c>
      <c r="B74" t="s">
        <v>721</v>
      </c>
      <c r="C74" t="s">
        <v>1095</v>
      </c>
      <c r="D74">
        <v>4600000</v>
      </c>
      <c r="E74">
        <v>100000</v>
      </c>
      <c r="F74">
        <v>4700000</v>
      </c>
      <c r="G74">
        <v>2800000</v>
      </c>
      <c r="H74" t="s">
        <v>968</v>
      </c>
      <c r="I74" t="s">
        <v>973</v>
      </c>
    </row>
    <row r="75" spans="1:9" x14ac:dyDescent="0.25">
      <c r="A75" t="s">
        <v>1096</v>
      </c>
      <c r="B75" t="s">
        <v>762</v>
      </c>
      <c r="C75" t="s">
        <v>1097</v>
      </c>
      <c r="D75">
        <v>1500000</v>
      </c>
      <c r="E75">
        <v>0</v>
      </c>
      <c r="F75">
        <v>1500000</v>
      </c>
      <c r="G75">
        <v>1500000</v>
      </c>
      <c r="H75" t="s">
        <v>945</v>
      </c>
      <c r="I75" t="s">
        <v>953</v>
      </c>
    </row>
    <row r="76" spans="1:9" x14ac:dyDescent="0.25">
      <c r="A76" t="s">
        <v>1098</v>
      </c>
      <c r="B76" t="s">
        <v>869</v>
      </c>
      <c r="C76" t="s">
        <v>1099</v>
      </c>
      <c r="D76">
        <v>3000000</v>
      </c>
      <c r="E76">
        <v>100000</v>
      </c>
      <c r="F76">
        <v>3100000</v>
      </c>
      <c r="G76">
        <v>3100000</v>
      </c>
      <c r="H76" t="s">
        <v>945</v>
      </c>
      <c r="I76" t="s">
        <v>973</v>
      </c>
    </row>
    <row r="77" spans="1:9" x14ac:dyDescent="0.25">
      <c r="A77" t="s">
        <v>1100</v>
      </c>
      <c r="B77" t="s">
        <v>861</v>
      </c>
      <c r="C77" t="s">
        <v>1101</v>
      </c>
      <c r="D77">
        <v>1400000</v>
      </c>
      <c r="E77">
        <v>0</v>
      </c>
      <c r="F77">
        <v>1400000</v>
      </c>
      <c r="G77">
        <v>0</v>
      </c>
      <c r="H77" t="s">
        <v>956</v>
      </c>
      <c r="I77" t="s">
        <v>953</v>
      </c>
    </row>
    <row r="78" spans="1:9" x14ac:dyDescent="0.25">
      <c r="A78" t="s">
        <v>1102</v>
      </c>
      <c r="B78" t="s">
        <v>903</v>
      </c>
      <c r="C78" t="s">
        <v>1103</v>
      </c>
      <c r="D78">
        <v>300000</v>
      </c>
      <c r="E78">
        <v>0</v>
      </c>
      <c r="F78">
        <v>300000</v>
      </c>
      <c r="G78">
        <v>300000</v>
      </c>
      <c r="H78" t="s">
        <v>945</v>
      </c>
      <c r="I78" t="s">
        <v>973</v>
      </c>
    </row>
    <row r="79" spans="1:9" x14ac:dyDescent="0.25">
      <c r="A79" t="s">
        <v>1104</v>
      </c>
      <c r="B79" t="s">
        <v>847</v>
      </c>
      <c r="C79" t="s">
        <v>1105</v>
      </c>
      <c r="D79">
        <v>100000</v>
      </c>
      <c r="E79">
        <v>0</v>
      </c>
      <c r="F79">
        <v>100000</v>
      </c>
      <c r="G79">
        <v>100000</v>
      </c>
      <c r="H79" t="s">
        <v>945</v>
      </c>
      <c r="I79" t="s">
        <v>963</v>
      </c>
    </row>
    <row r="80" spans="1:9" x14ac:dyDescent="0.25">
      <c r="A80" t="s">
        <v>1106</v>
      </c>
      <c r="B80" t="s">
        <v>881</v>
      </c>
      <c r="C80" t="s">
        <v>1107</v>
      </c>
      <c r="D80">
        <v>1400000</v>
      </c>
      <c r="E80">
        <v>0</v>
      </c>
      <c r="F80">
        <v>1400000</v>
      </c>
      <c r="G80">
        <v>1400000</v>
      </c>
      <c r="H80" t="s">
        <v>945</v>
      </c>
      <c r="I80" t="s">
        <v>957</v>
      </c>
    </row>
    <row r="81" spans="1:9" x14ac:dyDescent="0.25">
      <c r="A81" t="s">
        <v>1108</v>
      </c>
      <c r="B81" t="s">
        <v>788</v>
      </c>
      <c r="C81" t="s">
        <v>1109</v>
      </c>
      <c r="D81">
        <v>2600000</v>
      </c>
      <c r="E81">
        <v>100000</v>
      </c>
      <c r="F81">
        <v>2700000</v>
      </c>
      <c r="G81">
        <v>2700000</v>
      </c>
      <c r="H81" t="s">
        <v>945</v>
      </c>
      <c r="I81" t="s">
        <v>960</v>
      </c>
    </row>
    <row r="82" spans="1:9" x14ac:dyDescent="0.25">
      <c r="A82" t="s">
        <v>1110</v>
      </c>
      <c r="B82" t="s">
        <v>871</v>
      </c>
      <c r="C82" t="s">
        <v>1111</v>
      </c>
      <c r="D82">
        <v>6000000</v>
      </c>
      <c r="E82">
        <v>100000</v>
      </c>
      <c r="F82">
        <v>6100000</v>
      </c>
      <c r="G82">
        <v>2800000</v>
      </c>
      <c r="H82" t="s">
        <v>968</v>
      </c>
      <c r="I82" t="s">
        <v>949</v>
      </c>
    </row>
    <row r="83" spans="1:9" x14ac:dyDescent="0.25">
      <c r="A83" t="s">
        <v>1112</v>
      </c>
      <c r="B83" t="s">
        <v>807</v>
      </c>
      <c r="C83" t="s">
        <v>1113</v>
      </c>
      <c r="D83">
        <v>900000</v>
      </c>
      <c r="E83">
        <v>0</v>
      </c>
      <c r="F83">
        <v>900000</v>
      </c>
      <c r="G83">
        <v>900000</v>
      </c>
      <c r="H83" t="s">
        <v>945</v>
      </c>
      <c r="I83" t="s">
        <v>960</v>
      </c>
    </row>
    <row r="84" spans="1:9" x14ac:dyDescent="0.25">
      <c r="A84" t="s">
        <v>1114</v>
      </c>
      <c r="B84" t="s">
        <v>742</v>
      </c>
      <c r="C84" t="s">
        <v>1115</v>
      </c>
      <c r="D84">
        <v>900000</v>
      </c>
      <c r="E84">
        <v>0</v>
      </c>
      <c r="F84">
        <v>900000</v>
      </c>
      <c r="G84">
        <v>400000</v>
      </c>
      <c r="H84" t="s">
        <v>968</v>
      </c>
      <c r="I84" t="s">
        <v>946</v>
      </c>
    </row>
    <row r="85" spans="1:9" x14ac:dyDescent="0.25">
      <c r="A85" t="s">
        <v>1116</v>
      </c>
      <c r="B85" t="s">
        <v>906</v>
      </c>
      <c r="C85" t="s">
        <v>1117</v>
      </c>
      <c r="D85">
        <v>4400000</v>
      </c>
      <c r="E85">
        <v>0</v>
      </c>
      <c r="F85">
        <v>4400000</v>
      </c>
      <c r="G85">
        <v>4400000</v>
      </c>
      <c r="H85" t="s">
        <v>945</v>
      </c>
      <c r="I85" t="s">
        <v>960</v>
      </c>
    </row>
    <row r="86" spans="1:9" x14ac:dyDescent="0.25">
      <c r="A86" t="s">
        <v>1118</v>
      </c>
      <c r="B86" t="s">
        <v>772</v>
      </c>
      <c r="C86" t="s">
        <v>1119</v>
      </c>
      <c r="D86">
        <v>900000</v>
      </c>
      <c r="E86">
        <v>0</v>
      </c>
      <c r="F86">
        <v>900000</v>
      </c>
      <c r="G86">
        <v>900000</v>
      </c>
      <c r="H86" t="s">
        <v>945</v>
      </c>
      <c r="I86" t="s">
        <v>960</v>
      </c>
    </row>
    <row r="87" spans="1:9" x14ac:dyDescent="0.25">
      <c r="A87" t="s">
        <v>1120</v>
      </c>
      <c r="B87" t="s">
        <v>816</v>
      </c>
      <c r="C87" t="s">
        <v>1121</v>
      </c>
      <c r="D87">
        <v>4300000</v>
      </c>
      <c r="E87">
        <v>100000</v>
      </c>
      <c r="F87">
        <v>4400000</v>
      </c>
      <c r="G87">
        <v>4400000</v>
      </c>
      <c r="H87" t="s">
        <v>945</v>
      </c>
      <c r="I87" t="s">
        <v>963</v>
      </c>
    </row>
    <row r="88" spans="1:9" x14ac:dyDescent="0.25">
      <c r="A88" t="s">
        <v>1122</v>
      </c>
      <c r="B88" t="s">
        <v>754</v>
      </c>
      <c r="C88" t="s">
        <v>1123</v>
      </c>
      <c r="D88">
        <v>1800000</v>
      </c>
      <c r="E88">
        <v>0</v>
      </c>
      <c r="F88">
        <v>1800000</v>
      </c>
      <c r="G88">
        <v>1800000</v>
      </c>
      <c r="H88" t="s">
        <v>945</v>
      </c>
      <c r="I88" t="s">
        <v>953</v>
      </c>
    </row>
    <row r="89" spans="1:9" x14ac:dyDescent="0.25">
      <c r="A89" t="s">
        <v>1124</v>
      </c>
      <c r="B89" t="s">
        <v>866</v>
      </c>
      <c r="C89" t="s">
        <v>1125</v>
      </c>
      <c r="D89">
        <v>1000000</v>
      </c>
      <c r="E89">
        <v>0</v>
      </c>
      <c r="F89">
        <v>1000000</v>
      </c>
      <c r="G89">
        <v>400000</v>
      </c>
      <c r="H89" t="s">
        <v>968</v>
      </c>
      <c r="I89" t="s">
        <v>946</v>
      </c>
    </row>
    <row r="90" spans="1:9" x14ac:dyDescent="0.25">
      <c r="A90" t="s">
        <v>1126</v>
      </c>
      <c r="B90" t="s">
        <v>741</v>
      </c>
      <c r="C90" t="s">
        <v>876</v>
      </c>
      <c r="D90">
        <v>400000</v>
      </c>
      <c r="E90">
        <v>0</v>
      </c>
      <c r="F90">
        <v>400000</v>
      </c>
      <c r="G90">
        <v>0</v>
      </c>
      <c r="H90" t="s">
        <v>952</v>
      </c>
      <c r="I90" t="s">
        <v>953</v>
      </c>
    </row>
    <row r="91" spans="1:9" x14ac:dyDescent="0.25">
      <c r="A91" t="s">
        <v>1127</v>
      </c>
      <c r="B91" t="s">
        <v>920</v>
      </c>
      <c r="C91" t="s">
        <v>1128</v>
      </c>
      <c r="D91">
        <v>3100000</v>
      </c>
      <c r="E91">
        <v>100000</v>
      </c>
      <c r="F91">
        <v>3200000</v>
      </c>
      <c r="G91">
        <v>3200000</v>
      </c>
      <c r="H91" t="s">
        <v>1129</v>
      </c>
      <c r="I91" t="s">
        <v>949</v>
      </c>
    </row>
    <row r="92" spans="1:9" x14ac:dyDescent="0.25">
      <c r="A92" t="s">
        <v>1130</v>
      </c>
      <c r="B92" t="s">
        <v>850</v>
      </c>
      <c r="C92" t="s">
        <v>1131</v>
      </c>
      <c r="D92">
        <v>1600000</v>
      </c>
      <c r="E92">
        <v>0</v>
      </c>
      <c r="F92">
        <v>1600000</v>
      </c>
      <c r="G92">
        <v>1600000</v>
      </c>
      <c r="H92" t="s">
        <v>945</v>
      </c>
      <c r="I92" t="s">
        <v>960</v>
      </c>
    </row>
    <row r="93" spans="1:9" x14ac:dyDescent="0.25">
      <c r="A93" t="s">
        <v>1132</v>
      </c>
      <c r="B93" t="s">
        <v>861</v>
      </c>
      <c r="C93" t="s">
        <v>1133</v>
      </c>
      <c r="D93">
        <v>500000</v>
      </c>
      <c r="E93">
        <v>0</v>
      </c>
      <c r="F93">
        <v>500000</v>
      </c>
      <c r="G93">
        <v>500000</v>
      </c>
      <c r="H93" t="s">
        <v>1129</v>
      </c>
      <c r="I93" t="s">
        <v>946</v>
      </c>
    </row>
    <row r="94" spans="1:9" x14ac:dyDescent="0.25">
      <c r="A94" t="s">
        <v>1134</v>
      </c>
      <c r="B94" t="s">
        <v>721</v>
      </c>
      <c r="C94" t="s">
        <v>1135</v>
      </c>
      <c r="D94">
        <v>2400000</v>
      </c>
      <c r="E94">
        <v>0</v>
      </c>
      <c r="F94">
        <v>2400000</v>
      </c>
      <c r="G94">
        <v>2400000</v>
      </c>
      <c r="H94" t="s">
        <v>945</v>
      </c>
      <c r="I94" t="s">
        <v>953</v>
      </c>
    </row>
    <row r="95" spans="1:9" x14ac:dyDescent="0.25">
      <c r="A95" t="s">
        <v>1136</v>
      </c>
      <c r="B95" t="s">
        <v>932</v>
      </c>
      <c r="C95" t="s">
        <v>1137</v>
      </c>
      <c r="D95">
        <v>3000000</v>
      </c>
      <c r="E95">
        <v>0</v>
      </c>
      <c r="F95">
        <v>3000000</v>
      </c>
      <c r="G95">
        <v>3000000</v>
      </c>
      <c r="H95" t="s">
        <v>945</v>
      </c>
      <c r="I95" t="s">
        <v>957</v>
      </c>
    </row>
    <row r="96" spans="1:9" x14ac:dyDescent="0.25">
      <c r="A96" t="s">
        <v>1138</v>
      </c>
      <c r="B96" t="s">
        <v>789</v>
      </c>
      <c r="C96" t="s">
        <v>1139</v>
      </c>
      <c r="D96">
        <v>1800000</v>
      </c>
      <c r="E96">
        <v>0</v>
      </c>
      <c r="F96">
        <v>1800000</v>
      </c>
      <c r="G96">
        <v>0</v>
      </c>
      <c r="H96" t="s">
        <v>952</v>
      </c>
      <c r="I96" t="s">
        <v>963</v>
      </c>
    </row>
    <row r="97" spans="1:9" x14ac:dyDescent="0.25">
      <c r="A97" t="s">
        <v>1140</v>
      </c>
      <c r="B97" t="s">
        <v>884</v>
      </c>
      <c r="C97" t="s">
        <v>1141</v>
      </c>
      <c r="D97">
        <v>3900000</v>
      </c>
      <c r="E97">
        <v>100000</v>
      </c>
      <c r="F97">
        <v>4000000</v>
      </c>
      <c r="G97">
        <v>4000000</v>
      </c>
      <c r="H97" t="s">
        <v>945</v>
      </c>
      <c r="I97" t="s">
        <v>960</v>
      </c>
    </row>
    <row r="98" spans="1:9" x14ac:dyDescent="0.25">
      <c r="A98" t="s">
        <v>1142</v>
      </c>
      <c r="B98" t="s">
        <v>773</v>
      </c>
      <c r="C98" t="s">
        <v>1143</v>
      </c>
      <c r="D98">
        <v>5400000</v>
      </c>
      <c r="E98">
        <v>100000</v>
      </c>
      <c r="F98">
        <v>5500000</v>
      </c>
      <c r="G98">
        <v>5500000</v>
      </c>
      <c r="H98" t="s">
        <v>945</v>
      </c>
      <c r="I98" t="s">
        <v>957</v>
      </c>
    </row>
    <row r="99" spans="1:9" x14ac:dyDescent="0.25">
      <c r="A99" t="s">
        <v>1144</v>
      </c>
      <c r="B99" t="s">
        <v>739</v>
      </c>
      <c r="C99" t="s">
        <v>1145</v>
      </c>
      <c r="D99">
        <v>3800000</v>
      </c>
      <c r="E99">
        <v>100000</v>
      </c>
      <c r="F99">
        <v>3900000</v>
      </c>
      <c r="G99">
        <v>1600000</v>
      </c>
      <c r="H99" t="s">
        <v>968</v>
      </c>
      <c r="I99" t="s">
        <v>973</v>
      </c>
    </row>
    <row r="100" spans="1:9" x14ac:dyDescent="0.25">
      <c r="A100" t="s">
        <v>1146</v>
      </c>
      <c r="B100" t="s">
        <v>893</v>
      </c>
      <c r="C100" t="s">
        <v>1147</v>
      </c>
      <c r="D100">
        <v>3100000</v>
      </c>
      <c r="E100">
        <v>100000</v>
      </c>
      <c r="F100">
        <v>3200000</v>
      </c>
      <c r="G100">
        <v>1000000</v>
      </c>
      <c r="H100" t="s">
        <v>968</v>
      </c>
      <c r="I100" t="s">
        <v>946</v>
      </c>
    </row>
    <row r="101" spans="1:9" x14ac:dyDescent="0.25">
      <c r="A101" t="s">
        <v>1148</v>
      </c>
      <c r="B101" t="s">
        <v>728</v>
      </c>
      <c r="C101" t="s">
        <v>1149</v>
      </c>
      <c r="D101">
        <v>2400000</v>
      </c>
      <c r="E101">
        <v>0</v>
      </c>
      <c r="F101">
        <v>2400000</v>
      </c>
      <c r="G101">
        <v>2400000</v>
      </c>
      <c r="H101" t="s">
        <v>1129</v>
      </c>
      <c r="I101" t="s">
        <v>960</v>
      </c>
    </row>
    <row r="102" spans="1:9" x14ac:dyDescent="0.25">
      <c r="A102" t="s">
        <v>1150</v>
      </c>
      <c r="B102" t="s">
        <v>837</v>
      </c>
      <c r="C102" t="s">
        <v>1151</v>
      </c>
      <c r="D102">
        <v>2900000</v>
      </c>
      <c r="E102">
        <v>100000</v>
      </c>
      <c r="F102">
        <v>3000000</v>
      </c>
      <c r="G102">
        <v>0</v>
      </c>
      <c r="H102" t="s">
        <v>952</v>
      </c>
      <c r="I102" t="s">
        <v>960</v>
      </c>
    </row>
    <row r="103" spans="1:9" x14ac:dyDescent="0.25">
      <c r="A103" t="s">
        <v>1152</v>
      </c>
      <c r="B103" t="s">
        <v>896</v>
      </c>
      <c r="C103" t="s">
        <v>1153</v>
      </c>
      <c r="D103">
        <v>300000</v>
      </c>
      <c r="E103">
        <v>0</v>
      </c>
      <c r="F103">
        <v>300000</v>
      </c>
      <c r="G103">
        <v>300000</v>
      </c>
      <c r="H103" t="s">
        <v>945</v>
      </c>
      <c r="I103" t="s">
        <v>960</v>
      </c>
    </row>
    <row r="104" spans="1:9" x14ac:dyDescent="0.25">
      <c r="A104" t="s">
        <v>1154</v>
      </c>
      <c r="B104" t="s">
        <v>689</v>
      </c>
      <c r="C104" t="s">
        <v>1155</v>
      </c>
      <c r="D104">
        <v>3500000</v>
      </c>
      <c r="E104">
        <v>100000</v>
      </c>
      <c r="F104">
        <v>3600000</v>
      </c>
      <c r="G104">
        <v>3600000</v>
      </c>
      <c r="H104" t="s">
        <v>945</v>
      </c>
      <c r="I104" t="s">
        <v>953</v>
      </c>
    </row>
    <row r="105" spans="1:9" x14ac:dyDescent="0.25">
      <c r="A105" t="s">
        <v>1156</v>
      </c>
      <c r="B105" t="s">
        <v>906</v>
      </c>
      <c r="C105" t="s">
        <v>1157</v>
      </c>
      <c r="D105">
        <v>6200000</v>
      </c>
      <c r="E105">
        <v>100000</v>
      </c>
      <c r="F105">
        <v>6300000</v>
      </c>
      <c r="G105">
        <v>0</v>
      </c>
      <c r="H105" t="s">
        <v>952</v>
      </c>
      <c r="I105" t="s">
        <v>960</v>
      </c>
    </row>
    <row r="106" spans="1:9" x14ac:dyDescent="0.25">
      <c r="A106" t="s">
        <v>1158</v>
      </c>
      <c r="B106" t="s">
        <v>731</v>
      </c>
      <c r="C106" t="s">
        <v>1159</v>
      </c>
      <c r="D106">
        <v>2600000</v>
      </c>
      <c r="E106">
        <v>0</v>
      </c>
      <c r="F106">
        <v>2600000</v>
      </c>
      <c r="G106">
        <v>900000</v>
      </c>
      <c r="H106" t="s">
        <v>968</v>
      </c>
      <c r="I106" t="s">
        <v>953</v>
      </c>
    </row>
    <row r="107" spans="1:9" x14ac:dyDescent="0.25">
      <c r="A107" t="s">
        <v>1160</v>
      </c>
      <c r="B107" t="s">
        <v>896</v>
      </c>
      <c r="C107" t="s">
        <v>1161</v>
      </c>
      <c r="D107">
        <v>5800000</v>
      </c>
      <c r="E107">
        <v>100000</v>
      </c>
      <c r="F107">
        <v>5900000</v>
      </c>
      <c r="G107">
        <v>5900000</v>
      </c>
      <c r="H107" t="s">
        <v>945</v>
      </c>
      <c r="I107" t="s">
        <v>963</v>
      </c>
    </row>
    <row r="108" spans="1:9" x14ac:dyDescent="0.25">
      <c r="A108" t="s">
        <v>1162</v>
      </c>
      <c r="B108" t="s">
        <v>815</v>
      </c>
      <c r="C108" t="s">
        <v>1163</v>
      </c>
      <c r="D108">
        <v>2100000</v>
      </c>
      <c r="E108">
        <v>0</v>
      </c>
      <c r="F108">
        <v>2100000</v>
      </c>
      <c r="G108">
        <v>2100000</v>
      </c>
      <c r="H108" t="s">
        <v>945</v>
      </c>
      <c r="I108" t="s">
        <v>957</v>
      </c>
    </row>
    <row r="109" spans="1:9" x14ac:dyDescent="0.25">
      <c r="A109" t="s">
        <v>1164</v>
      </c>
      <c r="B109" t="s">
        <v>872</v>
      </c>
      <c r="C109" t="s">
        <v>1165</v>
      </c>
      <c r="D109">
        <v>600000</v>
      </c>
      <c r="E109">
        <v>0</v>
      </c>
      <c r="F109">
        <v>600000</v>
      </c>
      <c r="G109">
        <v>400000</v>
      </c>
      <c r="H109" t="s">
        <v>968</v>
      </c>
      <c r="I109" t="s">
        <v>949</v>
      </c>
    </row>
    <row r="110" spans="1:9" x14ac:dyDescent="0.25">
      <c r="A110" t="s">
        <v>1166</v>
      </c>
      <c r="B110" t="s">
        <v>706</v>
      </c>
      <c r="C110" t="s">
        <v>1167</v>
      </c>
      <c r="D110">
        <v>3800000</v>
      </c>
      <c r="E110">
        <v>0</v>
      </c>
      <c r="F110">
        <v>3800000</v>
      </c>
      <c r="G110">
        <v>3800000</v>
      </c>
      <c r="H110" t="s">
        <v>945</v>
      </c>
      <c r="I110" t="s">
        <v>946</v>
      </c>
    </row>
    <row r="111" spans="1:9" x14ac:dyDescent="0.25">
      <c r="A111" t="s">
        <v>1168</v>
      </c>
      <c r="B111" t="s">
        <v>705</v>
      </c>
      <c r="C111" t="s">
        <v>1169</v>
      </c>
      <c r="D111">
        <v>900000</v>
      </c>
      <c r="E111">
        <v>0</v>
      </c>
      <c r="F111">
        <v>900000</v>
      </c>
      <c r="G111">
        <v>900000</v>
      </c>
      <c r="H111" t="s">
        <v>945</v>
      </c>
      <c r="I111" t="s">
        <v>953</v>
      </c>
    </row>
    <row r="112" spans="1:9" x14ac:dyDescent="0.25">
      <c r="A112" t="s">
        <v>1170</v>
      </c>
      <c r="B112" t="s">
        <v>732</v>
      </c>
      <c r="C112" t="s">
        <v>1171</v>
      </c>
      <c r="D112">
        <v>2400000</v>
      </c>
      <c r="E112">
        <v>100000</v>
      </c>
      <c r="F112">
        <v>2500000</v>
      </c>
      <c r="G112">
        <v>0</v>
      </c>
      <c r="H112" t="s">
        <v>952</v>
      </c>
      <c r="I112" t="s">
        <v>949</v>
      </c>
    </row>
    <row r="113" spans="1:9" x14ac:dyDescent="0.25">
      <c r="A113" t="s">
        <v>1172</v>
      </c>
      <c r="B113" t="s">
        <v>833</v>
      </c>
      <c r="C113" t="s">
        <v>1173</v>
      </c>
      <c r="D113">
        <v>2400000</v>
      </c>
      <c r="E113">
        <v>100000</v>
      </c>
      <c r="F113">
        <v>2500000</v>
      </c>
      <c r="G113">
        <v>2500000</v>
      </c>
      <c r="H113" t="s">
        <v>945</v>
      </c>
      <c r="I113" t="s">
        <v>953</v>
      </c>
    </row>
    <row r="114" spans="1:9" x14ac:dyDescent="0.25">
      <c r="A114" t="s">
        <v>1174</v>
      </c>
      <c r="B114" t="s">
        <v>932</v>
      </c>
      <c r="C114" t="s">
        <v>1175</v>
      </c>
      <c r="D114">
        <v>900000</v>
      </c>
      <c r="E114">
        <v>0</v>
      </c>
      <c r="F114">
        <v>900000</v>
      </c>
      <c r="G114">
        <v>900000</v>
      </c>
      <c r="H114" t="s">
        <v>945</v>
      </c>
      <c r="I114" t="s">
        <v>949</v>
      </c>
    </row>
    <row r="115" spans="1:9" x14ac:dyDescent="0.25">
      <c r="A115" t="s">
        <v>1176</v>
      </c>
      <c r="B115" t="s">
        <v>933</v>
      </c>
      <c r="C115" t="s">
        <v>1177</v>
      </c>
      <c r="D115">
        <v>3300000</v>
      </c>
      <c r="E115">
        <v>0</v>
      </c>
      <c r="F115">
        <v>3300000</v>
      </c>
      <c r="G115">
        <v>3300000</v>
      </c>
      <c r="H115" t="s">
        <v>945</v>
      </c>
      <c r="I115" t="s">
        <v>973</v>
      </c>
    </row>
    <row r="116" spans="1:9" x14ac:dyDescent="0.25">
      <c r="A116" t="s">
        <v>1178</v>
      </c>
      <c r="B116" t="s">
        <v>864</v>
      </c>
      <c r="C116" t="s">
        <v>1179</v>
      </c>
      <c r="D116">
        <v>400000</v>
      </c>
      <c r="E116">
        <v>0</v>
      </c>
      <c r="F116">
        <v>400000</v>
      </c>
      <c r="G116">
        <v>400000</v>
      </c>
      <c r="H116" t="s">
        <v>945</v>
      </c>
      <c r="I116" t="s">
        <v>946</v>
      </c>
    </row>
    <row r="117" spans="1:9" x14ac:dyDescent="0.25">
      <c r="A117" t="s">
        <v>1180</v>
      </c>
      <c r="B117" t="s">
        <v>753</v>
      </c>
      <c r="C117" t="s">
        <v>1181</v>
      </c>
      <c r="D117">
        <v>2700000</v>
      </c>
      <c r="E117">
        <v>0</v>
      </c>
      <c r="F117">
        <v>2700000</v>
      </c>
      <c r="G117">
        <v>-2700000</v>
      </c>
      <c r="H117" t="s">
        <v>945</v>
      </c>
      <c r="I117" t="s">
        <v>973</v>
      </c>
    </row>
    <row r="118" spans="1:9" x14ac:dyDescent="0.25">
      <c r="A118" t="s">
        <v>1182</v>
      </c>
      <c r="B118" t="s">
        <v>859</v>
      </c>
      <c r="C118" t="s">
        <v>1183</v>
      </c>
      <c r="D118">
        <v>3200000</v>
      </c>
      <c r="E118">
        <v>100000</v>
      </c>
      <c r="F118">
        <v>3300000</v>
      </c>
      <c r="G118">
        <v>3300000</v>
      </c>
      <c r="H118" t="s">
        <v>945</v>
      </c>
      <c r="I118" t="s">
        <v>946</v>
      </c>
    </row>
    <row r="119" spans="1:9" x14ac:dyDescent="0.25">
      <c r="A119" t="s">
        <v>1184</v>
      </c>
      <c r="B119" t="s">
        <v>705</v>
      </c>
      <c r="C119" t="s">
        <v>1185</v>
      </c>
      <c r="D119">
        <v>3500000</v>
      </c>
      <c r="E119">
        <v>0</v>
      </c>
      <c r="F119">
        <v>3500000</v>
      </c>
      <c r="G119">
        <v>3500000</v>
      </c>
      <c r="H119" t="s">
        <v>945</v>
      </c>
      <c r="I119" t="s">
        <v>946</v>
      </c>
    </row>
    <row r="120" spans="1:9" x14ac:dyDescent="0.25">
      <c r="A120" t="s">
        <v>1186</v>
      </c>
      <c r="B120" t="s">
        <v>873</v>
      </c>
      <c r="C120" t="s">
        <v>1187</v>
      </c>
      <c r="D120">
        <v>3600000</v>
      </c>
      <c r="E120">
        <v>100000</v>
      </c>
      <c r="F120">
        <v>3700000</v>
      </c>
      <c r="G120">
        <v>3700000</v>
      </c>
      <c r="H120" t="s">
        <v>945</v>
      </c>
      <c r="I120" t="s">
        <v>963</v>
      </c>
    </row>
    <row r="121" spans="1:9" x14ac:dyDescent="0.25">
      <c r="A121" t="s">
        <v>1188</v>
      </c>
      <c r="B121" t="s">
        <v>764</v>
      </c>
      <c r="C121" t="s">
        <v>1189</v>
      </c>
      <c r="D121">
        <v>4300000</v>
      </c>
      <c r="E121">
        <v>100000</v>
      </c>
      <c r="F121">
        <v>4400000</v>
      </c>
      <c r="G121">
        <v>4400000</v>
      </c>
      <c r="H121" t="s">
        <v>945</v>
      </c>
      <c r="I121" t="s">
        <v>946</v>
      </c>
    </row>
    <row r="122" spans="1:9" x14ac:dyDescent="0.25">
      <c r="A122" t="s">
        <v>1190</v>
      </c>
      <c r="B122" t="s">
        <v>791</v>
      </c>
      <c r="C122" t="s">
        <v>1191</v>
      </c>
      <c r="D122">
        <v>1300000</v>
      </c>
      <c r="E122">
        <v>0</v>
      </c>
      <c r="F122">
        <v>1300000</v>
      </c>
      <c r="G122">
        <v>1300000</v>
      </c>
      <c r="H122" t="s">
        <v>945</v>
      </c>
      <c r="I122" t="s">
        <v>946</v>
      </c>
    </row>
    <row r="123" spans="1:9" x14ac:dyDescent="0.25">
      <c r="A123" t="s">
        <v>1192</v>
      </c>
      <c r="B123" t="s">
        <v>743</v>
      </c>
      <c r="C123" t="s">
        <v>1193</v>
      </c>
      <c r="D123">
        <v>3900000</v>
      </c>
      <c r="E123">
        <v>100000</v>
      </c>
      <c r="F123">
        <v>4000000</v>
      </c>
      <c r="G123">
        <v>4000000</v>
      </c>
      <c r="H123" t="s">
        <v>945</v>
      </c>
      <c r="I123" t="s">
        <v>949</v>
      </c>
    </row>
    <row r="124" spans="1:9" x14ac:dyDescent="0.25">
      <c r="A124" t="s">
        <v>1194</v>
      </c>
      <c r="B124" t="s">
        <v>907</v>
      </c>
      <c r="C124" t="s">
        <v>1195</v>
      </c>
      <c r="D124">
        <v>1900000</v>
      </c>
      <c r="E124">
        <v>0</v>
      </c>
      <c r="F124">
        <v>1900000</v>
      </c>
      <c r="G124">
        <v>1900000</v>
      </c>
      <c r="H124" t="s">
        <v>1129</v>
      </c>
      <c r="I124" t="s">
        <v>963</v>
      </c>
    </row>
    <row r="125" spans="1:9" x14ac:dyDescent="0.25">
      <c r="A125" t="s">
        <v>1196</v>
      </c>
      <c r="B125" t="s">
        <v>911</v>
      </c>
      <c r="C125" t="s">
        <v>1197</v>
      </c>
      <c r="D125">
        <v>2000000</v>
      </c>
      <c r="E125">
        <v>0</v>
      </c>
      <c r="F125">
        <v>2000000</v>
      </c>
      <c r="G125">
        <v>2000000</v>
      </c>
      <c r="H125" t="s">
        <v>945</v>
      </c>
      <c r="I125" t="s">
        <v>963</v>
      </c>
    </row>
    <row r="126" spans="1:9" x14ac:dyDescent="0.25">
      <c r="A126" t="s">
        <v>1198</v>
      </c>
      <c r="B126" t="s">
        <v>814</v>
      </c>
      <c r="C126" t="s">
        <v>1199</v>
      </c>
      <c r="D126">
        <v>4700000</v>
      </c>
      <c r="E126">
        <v>100000</v>
      </c>
      <c r="F126">
        <v>4800000</v>
      </c>
      <c r="G126">
        <v>0</v>
      </c>
      <c r="H126" t="s">
        <v>952</v>
      </c>
      <c r="I126" t="s">
        <v>963</v>
      </c>
    </row>
    <row r="127" spans="1:9" x14ac:dyDescent="0.25">
      <c r="A127" t="s">
        <v>1200</v>
      </c>
      <c r="B127" t="s">
        <v>777</v>
      </c>
      <c r="C127" t="s">
        <v>1201</v>
      </c>
      <c r="D127">
        <v>200000</v>
      </c>
      <c r="E127">
        <v>0</v>
      </c>
      <c r="F127">
        <v>200000</v>
      </c>
      <c r="G127">
        <v>0</v>
      </c>
      <c r="H127" t="s">
        <v>956</v>
      </c>
      <c r="I127" t="s">
        <v>949</v>
      </c>
    </row>
    <row r="128" spans="1:9" x14ac:dyDescent="0.25">
      <c r="A128" t="s">
        <v>1202</v>
      </c>
      <c r="B128" t="s">
        <v>800</v>
      </c>
      <c r="C128" t="s">
        <v>1203</v>
      </c>
      <c r="D128">
        <v>4300000</v>
      </c>
      <c r="E128">
        <v>100000</v>
      </c>
      <c r="F128">
        <v>4400000</v>
      </c>
      <c r="G128">
        <v>1900000</v>
      </c>
      <c r="H128" t="s">
        <v>968</v>
      </c>
      <c r="I128" t="s">
        <v>960</v>
      </c>
    </row>
    <row r="129" spans="1:9" x14ac:dyDescent="0.25">
      <c r="A129" t="s">
        <v>1204</v>
      </c>
      <c r="B129" t="s">
        <v>726</v>
      </c>
      <c r="C129" t="s">
        <v>1039</v>
      </c>
      <c r="D129">
        <v>2500000</v>
      </c>
      <c r="E129">
        <v>0</v>
      </c>
      <c r="F129">
        <v>2500000</v>
      </c>
      <c r="G129">
        <v>2500000</v>
      </c>
      <c r="H129" t="s">
        <v>945</v>
      </c>
      <c r="I129" t="s">
        <v>960</v>
      </c>
    </row>
    <row r="130" spans="1:9" x14ac:dyDescent="0.25">
      <c r="A130" t="s">
        <v>1205</v>
      </c>
      <c r="B130" t="s">
        <v>836</v>
      </c>
      <c r="C130" t="s">
        <v>1206</v>
      </c>
      <c r="D130">
        <v>3900000</v>
      </c>
      <c r="E130">
        <v>100000</v>
      </c>
      <c r="F130">
        <v>4000000</v>
      </c>
      <c r="G130">
        <v>0</v>
      </c>
      <c r="H130" t="s">
        <v>952</v>
      </c>
      <c r="I130" t="s">
        <v>957</v>
      </c>
    </row>
    <row r="131" spans="1:9" x14ac:dyDescent="0.25">
      <c r="A131" t="s">
        <v>1207</v>
      </c>
      <c r="B131" t="s">
        <v>819</v>
      </c>
      <c r="C131" t="s">
        <v>1208</v>
      </c>
      <c r="D131">
        <v>6000000</v>
      </c>
      <c r="E131">
        <v>100000</v>
      </c>
      <c r="F131">
        <v>6100000</v>
      </c>
      <c r="G131">
        <v>6100000</v>
      </c>
      <c r="H131" t="s">
        <v>945</v>
      </c>
      <c r="I131" t="s">
        <v>949</v>
      </c>
    </row>
    <row r="132" spans="1:9" x14ac:dyDescent="0.25">
      <c r="A132" t="s">
        <v>1209</v>
      </c>
      <c r="B132" t="s">
        <v>894</v>
      </c>
      <c r="C132" t="s">
        <v>1210</v>
      </c>
      <c r="D132">
        <v>2100000</v>
      </c>
      <c r="E132">
        <v>0</v>
      </c>
      <c r="F132">
        <v>2100000</v>
      </c>
      <c r="G132">
        <v>0</v>
      </c>
      <c r="H132" t="s">
        <v>952</v>
      </c>
      <c r="I132" t="s">
        <v>957</v>
      </c>
    </row>
    <row r="133" spans="1:9" x14ac:dyDescent="0.25">
      <c r="A133" t="s">
        <v>1211</v>
      </c>
      <c r="B133" t="s">
        <v>836</v>
      </c>
      <c r="C133" t="s">
        <v>1212</v>
      </c>
      <c r="D133">
        <v>3000000</v>
      </c>
      <c r="E133">
        <v>100000</v>
      </c>
      <c r="F133">
        <v>3100000</v>
      </c>
      <c r="G133">
        <v>3100000</v>
      </c>
      <c r="H133" t="s">
        <v>945</v>
      </c>
      <c r="I133" t="s">
        <v>963</v>
      </c>
    </row>
    <row r="134" spans="1:9" x14ac:dyDescent="0.25">
      <c r="A134" t="s">
        <v>1213</v>
      </c>
      <c r="B134" t="s">
        <v>884</v>
      </c>
      <c r="C134" t="s">
        <v>959</v>
      </c>
      <c r="D134">
        <v>3500000</v>
      </c>
      <c r="E134">
        <v>100000</v>
      </c>
      <c r="F134">
        <v>3600000</v>
      </c>
      <c r="G134">
        <v>3600000</v>
      </c>
      <c r="H134" t="s">
        <v>945</v>
      </c>
      <c r="I134" t="s">
        <v>963</v>
      </c>
    </row>
    <row r="135" spans="1:9" x14ac:dyDescent="0.25">
      <c r="A135" t="s">
        <v>1214</v>
      </c>
      <c r="B135" t="s">
        <v>907</v>
      </c>
      <c r="C135" t="s">
        <v>1215</v>
      </c>
      <c r="D135">
        <v>4000000</v>
      </c>
      <c r="E135">
        <v>100000</v>
      </c>
      <c r="F135">
        <v>4100000</v>
      </c>
      <c r="G135">
        <v>4100000</v>
      </c>
      <c r="H135" t="s">
        <v>945</v>
      </c>
      <c r="I135" t="s">
        <v>963</v>
      </c>
    </row>
    <row r="136" spans="1:9" x14ac:dyDescent="0.25">
      <c r="A136" t="s">
        <v>1216</v>
      </c>
      <c r="B136" t="s">
        <v>924</v>
      </c>
      <c r="C136" t="s">
        <v>1217</v>
      </c>
      <c r="D136">
        <v>4400000</v>
      </c>
      <c r="E136">
        <v>100000</v>
      </c>
      <c r="F136">
        <v>4500000</v>
      </c>
      <c r="G136">
        <v>4500000</v>
      </c>
      <c r="H136" t="s">
        <v>945</v>
      </c>
      <c r="I136" t="s">
        <v>957</v>
      </c>
    </row>
    <row r="137" spans="1:9" x14ac:dyDescent="0.25">
      <c r="A137" t="s">
        <v>1218</v>
      </c>
      <c r="B137" t="s">
        <v>872</v>
      </c>
      <c r="C137" t="s">
        <v>1219</v>
      </c>
      <c r="D137">
        <v>3800000</v>
      </c>
      <c r="E137">
        <v>100000</v>
      </c>
      <c r="F137">
        <v>3900000</v>
      </c>
      <c r="G137">
        <v>3900000</v>
      </c>
      <c r="H137" t="s">
        <v>945</v>
      </c>
      <c r="I137" t="s">
        <v>960</v>
      </c>
    </row>
    <row r="138" spans="1:9" x14ac:dyDescent="0.25">
      <c r="A138" t="s">
        <v>1220</v>
      </c>
      <c r="B138" t="s">
        <v>764</v>
      </c>
      <c r="C138" t="s">
        <v>1221</v>
      </c>
      <c r="D138">
        <v>3100000</v>
      </c>
      <c r="E138">
        <v>0</v>
      </c>
      <c r="F138">
        <v>3100000</v>
      </c>
      <c r="G138">
        <v>1200000</v>
      </c>
      <c r="H138" t="s">
        <v>968</v>
      </c>
      <c r="I138" t="s">
        <v>953</v>
      </c>
    </row>
    <row r="139" spans="1:9" x14ac:dyDescent="0.25">
      <c r="A139" t="s">
        <v>1222</v>
      </c>
      <c r="B139" t="s">
        <v>743</v>
      </c>
      <c r="C139" t="s">
        <v>1223</v>
      </c>
      <c r="D139">
        <v>200000</v>
      </c>
      <c r="E139">
        <v>0</v>
      </c>
      <c r="F139">
        <v>200000</v>
      </c>
      <c r="G139">
        <v>0</v>
      </c>
      <c r="H139" t="s">
        <v>952</v>
      </c>
      <c r="I139" t="s">
        <v>960</v>
      </c>
    </row>
    <row r="140" spans="1:9" x14ac:dyDescent="0.25">
      <c r="A140" t="s">
        <v>1224</v>
      </c>
      <c r="B140" t="s">
        <v>881</v>
      </c>
      <c r="C140" t="s">
        <v>696</v>
      </c>
      <c r="D140">
        <v>400000</v>
      </c>
      <c r="E140">
        <v>0</v>
      </c>
      <c r="F140">
        <v>400000</v>
      </c>
      <c r="G140">
        <v>0</v>
      </c>
      <c r="H140" t="s">
        <v>952</v>
      </c>
      <c r="I140" t="s">
        <v>973</v>
      </c>
    </row>
    <row r="141" spans="1:9" x14ac:dyDescent="0.25">
      <c r="A141" t="s">
        <v>1225</v>
      </c>
      <c r="B141" t="s">
        <v>795</v>
      </c>
      <c r="C141" t="s">
        <v>1226</v>
      </c>
      <c r="D141">
        <v>1400000</v>
      </c>
      <c r="E141">
        <v>0</v>
      </c>
      <c r="F141">
        <v>1400000</v>
      </c>
      <c r="G141">
        <v>1400000</v>
      </c>
      <c r="H141" t="s">
        <v>945</v>
      </c>
      <c r="I141" t="s">
        <v>960</v>
      </c>
    </row>
    <row r="142" spans="1:9" x14ac:dyDescent="0.25">
      <c r="A142" t="s">
        <v>1227</v>
      </c>
      <c r="B142" t="s">
        <v>764</v>
      </c>
      <c r="C142" t="s">
        <v>1228</v>
      </c>
      <c r="D142">
        <v>2400000</v>
      </c>
      <c r="E142">
        <v>0</v>
      </c>
      <c r="F142">
        <v>2400000</v>
      </c>
      <c r="G142">
        <v>0</v>
      </c>
      <c r="H142" t="s">
        <v>952</v>
      </c>
      <c r="I142" t="s">
        <v>949</v>
      </c>
    </row>
    <row r="143" spans="1:9" x14ac:dyDescent="0.25">
      <c r="A143" t="s">
        <v>1229</v>
      </c>
      <c r="B143" t="s">
        <v>751</v>
      </c>
      <c r="C143" t="s">
        <v>1230</v>
      </c>
      <c r="D143">
        <v>900000</v>
      </c>
      <c r="E143">
        <v>0</v>
      </c>
      <c r="F143">
        <v>900000</v>
      </c>
      <c r="G143">
        <v>900000</v>
      </c>
      <c r="H143" t="s">
        <v>945</v>
      </c>
      <c r="I143" t="s">
        <v>963</v>
      </c>
    </row>
    <row r="144" spans="1:9" x14ac:dyDescent="0.25">
      <c r="A144" t="s">
        <v>1231</v>
      </c>
      <c r="B144" t="s">
        <v>776</v>
      </c>
      <c r="C144" t="s">
        <v>1232</v>
      </c>
      <c r="D144">
        <v>4300000</v>
      </c>
      <c r="E144">
        <v>100000</v>
      </c>
      <c r="F144">
        <v>4400000</v>
      </c>
      <c r="G144">
        <v>0</v>
      </c>
      <c r="H144" t="s">
        <v>952</v>
      </c>
      <c r="I144" t="s">
        <v>973</v>
      </c>
    </row>
    <row r="145" spans="1:9" x14ac:dyDescent="0.25">
      <c r="A145" t="s">
        <v>1233</v>
      </c>
      <c r="B145" t="s">
        <v>850</v>
      </c>
      <c r="C145" t="s">
        <v>1234</v>
      </c>
      <c r="D145">
        <v>500000</v>
      </c>
      <c r="E145">
        <v>0</v>
      </c>
      <c r="F145">
        <v>500000</v>
      </c>
      <c r="G145">
        <v>500000</v>
      </c>
      <c r="H145" t="s">
        <v>945</v>
      </c>
      <c r="I145" t="s">
        <v>960</v>
      </c>
    </row>
    <row r="146" spans="1:9" x14ac:dyDescent="0.25">
      <c r="A146" t="s">
        <v>1235</v>
      </c>
      <c r="B146" t="s">
        <v>913</v>
      </c>
      <c r="C146" t="s">
        <v>1236</v>
      </c>
      <c r="D146">
        <v>4400000</v>
      </c>
      <c r="E146">
        <v>100000</v>
      </c>
      <c r="F146">
        <v>4500000</v>
      </c>
      <c r="G146">
        <v>4500000</v>
      </c>
      <c r="H146" t="s">
        <v>945</v>
      </c>
      <c r="I146" t="s">
        <v>963</v>
      </c>
    </row>
    <row r="147" spans="1:9" x14ac:dyDescent="0.25">
      <c r="A147" t="s">
        <v>1237</v>
      </c>
      <c r="B147" t="s">
        <v>773</v>
      </c>
      <c r="C147" t="s">
        <v>1238</v>
      </c>
      <c r="D147">
        <v>2400000</v>
      </c>
      <c r="E147">
        <v>0</v>
      </c>
      <c r="F147">
        <v>2400000</v>
      </c>
      <c r="G147">
        <v>1800000</v>
      </c>
      <c r="H147" t="s">
        <v>968</v>
      </c>
      <c r="I147" t="s">
        <v>960</v>
      </c>
    </row>
    <row r="148" spans="1:9" x14ac:dyDescent="0.25">
      <c r="A148" t="s">
        <v>1239</v>
      </c>
      <c r="B148" t="s">
        <v>769</v>
      </c>
      <c r="C148" t="s">
        <v>1240</v>
      </c>
      <c r="D148">
        <v>2000000</v>
      </c>
      <c r="E148">
        <v>0</v>
      </c>
      <c r="F148">
        <v>2000000</v>
      </c>
      <c r="G148">
        <v>2000000</v>
      </c>
      <c r="H148" t="s">
        <v>945</v>
      </c>
      <c r="I148" t="s">
        <v>973</v>
      </c>
    </row>
    <row r="149" spans="1:9" x14ac:dyDescent="0.25">
      <c r="A149" t="s">
        <v>1241</v>
      </c>
      <c r="B149" t="s">
        <v>862</v>
      </c>
      <c r="C149" t="s">
        <v>1242</v>
      </c>
      <c r="D149">
        <v>2500000</v>
      </c>
      <c r="E149">
        <v>0</v>
      </c>
      <c r="F149">
        <v>2500000</v>
      </c>
      <c r="G149">
        <v>2500000</v>
      </c>
      <c r="H149" t="s">
        <v>945</v>
      </c>
    </row>
    <row r="150" spans="1:9" x14ac:dyDescent="0.25">
      <c r="A150" t="s">
        <v>1243</v>
      </c>
      <c r="B150" t="s">
        <v>847</v>
      </c>
      <c r="C150" t="s">
        <v>1244</v>
      </c>
      <c r="D150">
        <v>1300000</v>
      </c>
      <c r="E150">
        <v>0</v>
      </c>
      <c r="F150">
        <v>1300000</v>
      </c>
      <c r="G150">
        <v>800000</v>
      </c>
      <c r="H150" t="s">
        <v>968</v>
      </c>
      <c r="I150" t="s">
        <v>949</v>
      </c>
    </row>
    <row r="151" spans="1:9" x14ac:dyDescent="0.25">
      <c r="A151" t="s">
        <v>1245</v>
      </c>
      <c r="B151" t="s">
        <v>896</v>
      </c>
      <c r="C151" t="s">
        <v>1246</v>
      </c>
      <c r="D151">
        <v>2700000</v>
      </c>
      <c r="E151">
        <v>0</v>
      </c>
      <c r="F151">
        <v>2700000</v>
      </c>
      <c r="G151">
        <v>1200000</v>
      </c>
      <c r="H151" t="s">
        <v>968</v>
      </c>
      <c r="I151" t="s">
        <v>960</v>
      </c>
    </row>
    <row r="152" spans="1:9" x14ac:dyDescent="0.25">
      <c r="A152" t="s">
        <v>1247</v>
      </c>
      <c r="B152" t="s">
        <v>789</v>
      </c>
      <c r="C152" t="s">
        <v>1248</v>
      </c>
      <c r="D152">
        <v>2400000</v>
      </c>
      <c r="E152">
        <v>100000</v>
      </c>
      <c r="F152">
        <v>2500000</v>
      </c>
      <c r="G152">
        <v>2500000</v>
      </c>
      <c r="H152" t="s">
        <v>945</v>
      </c>
      <c r="I152" t="s">
        <v>953</v>
      </c>
    </row>
    <row r="153" spans="1:9" x14ac:dyDescent="0.25">
      <c r="A153" t="s">
        <v>1249</v>
      </c>
      <c r="B153" t="s">
        <v>917</v>
      </c>
      <c r="C153" t="s">
        <v>1250</v>
      </c>
      <c r="D153">
        <v>2100000</v>
      </c>
      <c r="E153">
        <v>0</v>
      </c>
      <c r="F153">
        <v>2100000</v>
      </c>
      <c r="G153">
        <v>700000</v>
      </c>
      <c r="H153" t="s">
        <v>968</v>
      </c>
      <c r="I153" t="s">
        <v>957</v>
      </c>
    </row>
    <row r="154" spans="1:9" x14ac:dyDescent="0.25">
      <c r="A154" t="s">
        <v>1251</v>
      </c>
      <c r="B154" t="s">
        <v>926</v>
      </c>
      <c r="C154" t="s">
        <v>1252</v>
      </c>
      <c r="D154">
        <v>3000000</v>
      </c>
      <c r="E154">
        <v>100000</v>
      </c>
      <c r="F154">
        <v>3100000</v>
      </c>
      <c r="G154">
        <v>3100000</v>
      </c>
      <c r="H154" t="s">
        <v>945</v>
      </c>
      <c r="I154" t="s">
        <v>973</v>
      </c>
    </row>
    <row r="155" spans="1:9" x14ac:dyDescent="0.25">
      <c r="A155" t="s">
        <v>1253</v>
      </c>
      <c r="B155" t="s">
        <v>771</v>
      </c>
      <c r="C155" t="s">
        <v>1254</v>
      </c>
      <c r="D155">
        <v>1000000</v>
      </c>
      <c r="E155">
        <v>0</v>
      </c>
      <c r="F155">
        <v>1000000</v>
      </c>
      <c r="G155">
        <v>600000</v>
      </c>
      <c r="H155" t="s">
        <v>968</v>
      </c>
      <c r="I155" t="s">
        <v>973</v>
      </c>
    </row>
    <row r="156" spans="1:9" x14ac:dyDescent="0.25">
      <c r="A156" t="s">
        <v>1255</v>
      </c>
      <c r="B156" t="s">
        <v>672</v>
      </c>
      <c r="C156" t="s">
        <v>1256</v>
      </c>
      <c r="D156">
        <v>2500000</v>
      </c>
      <c r="E156">
        <v>0</v>
      </c>
      <c r="F156">
        <v>2500000</v>
      </c>
      <c r="G156">
        <v>1200000</v>
      </c>
      <c r="H156" t="s">
        <v>968</v>
      </c>
      <c r="I156" t="s">
        <v>960</v>
      </c>
    </row>
    <row r="157" spans="1:9" x14ac:dyDescent="0.25">
      <c r="A157" t="s">
        <v>1257</v>
      </c>
      <c r="B157" t="s">
        <v>860</v>
      </c>
      <c r="C157" t="s">
        <v>1258</v>
      </c>
      <c r="D157">
        <v>5900000</v>
      </c>
      <c r="E157">
        <v>100000</v>
      </c>
      <c r="F157">
        <v>6000000</v>
      </c>
      <c r="G157">
        <v>6000000</v>
      </c>
      <c r="H157" t="s">
        <v>945</v>
      </c>
      <c r="I157" t="s">
        <v>949</v>
      </c>
    </row>
    <row r="158" spans="1:9" x14ac:dyDescent="0.25">
      <c r="A158" t="s">
        <v>1259</v>
      </c>
      <c r="B158" t="s">
        <v>814</v>
      </c>
      <c r="C158" t="s">
        <v>1260</v>
      </c>
      <c r="D158">
        <v>3600000</v>
      </c>
      <c r="E158">
        <v>100000</v>
      </c>
      <c r="F158">
        <v>3700000</v>
      </c>
      <c r="G158">
        <v>3700000</v>
      </c>
      <c r="H158" t="s">
        <v>1129</v>
      </c>
      <c r="I158" t="s">
        <v>960</v>
      </c>
    </row>
    <row r="159" spans="1:9" x14ac:dyDescent="0.25">
      <c r="A159" t="s">
        <v>1261</v>
      </c>
      <c r="B159" t="s">
        <v>856</v>
      </c>
      <c r="C159" t="s">
        <v>852</v>
      </c>
      <c r="D159">
        <v>2400000</v>
      </c>
      <c r="E159">
        <v>0</v>
      </c>
      <c r="F159">
        <v>2400000</v>
      </c>
      <c r="G159">
        <v>1000000</v>
      </c>
      <c r="H159" t="s">
        <v>968</v>
      </c>
      <c r="I159" t="s">
        <v>957</v>
      </c>
    </row>
    <row r="160" spans="1:9" x14ac:dyDescent="0.25">
      <c r="A160" t="s">
        <v>1262</v>
      </c>
      <c r="B160" t="s">
        <v>864</v>
      </c>
      <c r="C160" t="s">
        <v>1263</v>
      </c>
      <c r="D160">
        <v>1700000</v>
      </c>
      <c r="E160">
        <v>0</v>
      </c>
      <c r="F160">
        <v>1700000</v>
      </c>
      <c r="G160">
        <v>1700000</v>
      </c>
      <c r="H160" t="s">
        <v>945</v>
      </c>
      <c r="I160" t="s">
        <v>953</v>
      </c>
    </row>
    <row r="161" spans="1:9" x14ac:dyDescent="0.25">
      <c r="A161" t="s">
        <v>1264</v>
      </c>
      <c r="B161" t="s">
        <v>771</v>
      </c>
      <c r="C161" t="s">
        <v>1265</v>
      </c>
      <c r="D161">
        <v>5800000</v>
      </c>
      <c r="E161">
        <v>100000</v>
      </c>
      <c r="F161">
        <v>5900000</v>
      </c>
      <c r="G161">
        <v>0</v>
      </c>
      <c r="H161" t="s">
        <v>952</v>
      </c>
      <c r="I161" t="s">
        <v>957</v>
      </c>
    </row>
    <row r="162" spans="1:9" x14ac:dyDescent="0.25">
      <c r="A162" t="s">
        <v>1266</v>
      </c>
      <c r="B162" t="s">
        <v>875</v>
      </c>
      <c r="C162" t="s">
        <v>1267</v>
      </c>
      <c r="D162">
        <v>2900000</v>
      </c>
      <c r="E162">
        <v>100000</v>
      </c>
      <c r="F162">
        <v>3000000</v>
      </c>
      <c r="G162">
        <v>3000000</v>
      </c>
      <c r="H162" t="s">
        <v>945</v>
      </c>
      <c r="I162" t="s">
        <v>946</v>
      </c>
    </row>
    <row r="163" spans="1:9" x14ac:dyDescent="0.25">
      <c r="A163" t="s">
        <v>1268</v>
      </c>
      <c r="B163" t="s">
        <v>735</v>
      </c>
      <c r="C163" t="s">
        <v>1269</v>
      </c>
      <c r="D163">
        <v>800000</v>
      </c>
      <c r="E163">
        <v>0</v>
      </c>
      <c r="F163">
        <v>800000</v>
      </c>
      <c r="G163">
        <v>800000</v>
      </c>
      <c r="H163" t="s">
        <v>945</v>
      </c>
      <c r="I163" t="s">
        <v>946</v>
      </c>
    </row>
    <row r="164" spans="1:9" x14ac:dyDescent="0.25">
      <c r="A164" t="s">
        <v>1270</v>
      </c>
      <c r="B164" t="s">
        <v>726</v>
      </c>
      <c r="C164" t="s">
        <v>1271</v>
      </c>
      <c r="D164">
        <v>1300000</v>
      </c>
      <c r="E164">
        <v>0</v>
      </c>
      <c r="F164">
        <v>1300000</v>
      </c>
      <c r="G164">
        <v>1300000</v>
      </c>
      <c r="H164" t="s">
        <v>945</v>
      </c>
      <c r="I164" t="s">
        <v>953</v>
      </c>
    </row>
    <row r="165" spans="1:9" x14ac:dyDescent="0.25">
      <c r="A165" t="s">
        <v>1272</v>
      </c>
      <c r="B165" t="s">
        <v>833</v>
      </c>
      <c r="C165" t="s">
        <v>1273</v>
      </c>
      <c r="D165">
        <v>1800000</v>
      </c>
      <c r="E165">
        <v>0</v>
      </c>
      <c r="F165">
        <v>1800000</v>
      </c>
      <c r="G165">
        <v>1800000</v>
      </c>
      <c r="H165" t="s">
        <v>945</v>
      </c>
      <c r="I165" t="s">
        <v>957</v>
      </c>
    </row>
    <row r="166" spans="1:9" x14ac:dyDescent="0.25">
      <c r="A166" t="s">
        <v>1274</v>
      </c>
      <c r="B166" t="s">
        <v>859</v>
      </c>
      <c r="C166" t="s">
        <v>1275</v>
      </c>
      <c r="D166">
        <v>400000</v>
      </c>
      <c r="E166">
        <v>0</v>
      </c>
      <c r="F166">
        <v>400000</v>
      </c>
      <c r="G166">
        <v>400000</v>
      </c>
      <c r="H166" t="s">
        <v>945</v>
      </c>
      <c r="I166" t="s">
        <v>963</v>
      </c>
    </row>
    <row r="167" spans="1:9" x14ac:dyDescent="0.25">
      <c r="A167" t="s">
        <v>1276</v>
      </c>
      <c r="B167" t="s">
        <v>672</v>
      </c>
      <c r="C167" t="s">
        <v>1277</v>
      </c>
      <c r="D167">
        <v>4700000</v>
      </c>
      <c r="E167">
        <v>100000</v>
      </c>
      <c r="F167">
        <v>4800000</v>
      </c>
      <c r="G167">
        <v>4800000</v>
      </c>
      <c r="H167" t="s">
        <v>945</v>
      </c>
    </row>
    <row r="168" spans="1:9" x14ac:dyDescent="0.25">
      <c r="A168" t="s">
        <v>1278</v>
      </c>
      <c r="B168" t="s">
        <v>777</v>
      </c>
      <c r="C168" t="s">
        <v>1279</v>
      </c>
      <c r="D168">
        <v>4800000</v>
      </c>
      <c r="E168">
        <v>100000</v>
      </c>
      <c r="F168">
        <v>4900000</v>
      </c>
      <c r="G168">
        <v>4900000</v>
      </c>
      <c r="H168" t="s">
        <v>945</v>
      </c>
      <c r="I168" t="s">
        <v>973</v>
      </c>
    </row>
    <row r="169" spans="1:9" x14ac:dyDescent="0.25">
      <c r="A169" t="s">
        <v>1280</v>
      </c>
      <c r="B169" t="s">
        <v>721</v>
      </c>
      <c r="C169" t="s">
        <v>1281</v>
      </c>
      <c r="D169">
        <v>1300000</v>
      </c>
      <c r="E169">
        <v>0</v>
      </c>
      <c r="F169">
        <v>1300000</v>
      </c>
      <c r="G169">
        <v>1300000</v>
      </c>
      <c r="H169" t="s">
        <v>945</v>
      </c>
      <c r="I169" t="s">
        <v>946</v>
      </c>
    </row>
    <row r="170" spans="1:9" x14ac:dyDescent="0.25">
      <c r="A170" t="s">
        <v>1282</v>
      </c>
      <c r="B170" t="s">
        <v>850</v>
      </c>
      <c r="C170" t="s">
        <v>1283</v>
      </c>
      <c r="D170">
        <v>1600000</v>
      </c>
      <c r="E170">
        <v>0</v>
      </c>
      <c r="F170">
        <v>1600000</v>
      </c>
      <c r="G170">
        <v>1600000</v>
      </c>
      <c r="H170" t="s">
        <v>945</v>
      </c>
      <c r="I170" t="s">
        <v>973</v>
      </c>
    </row>
    <row r="171" spans="1:9" x14ac:dyDescent="0.25">
      <c r="A171" t="s">
        <v>1284</v>
      </c>
      <c r="B171" t="s">
        <v>785</v>
      </c>
      <c r="C171" t="s">
        <v>1285</v>
      </c>
      <c r="D171">
        <v>1500000</v>
      </c>
      <c r="E171">
        <v>0</v>
      </c>
      <c r="F171">
        <v>1500000</v>
      </c>
      <c r="G171">
        <v>1500000</v>
      </c>
      <c r="H171" t="s">
        <v>945</v>
      </c>
      <c r="I171" t="s">
        <v>963</v>
      </c>
    </row>
    <row r="172" spans="1:9" x14ac:dyDescent="0.25">
      <c r="A172" t="s">
        <v>1286</v>
      </c>
      <c r="B172" t="s">
        <v>885</v>
      </c>
      <c r="C172" t="s">
        <v>1287</v>
      </c>
      <c r="D172">
        <v>3400000</v>
      </c>
      <c r="E172">
        <v>100000</v>
      </c>
      <c r="F172">
        <v>3500000</v>
      </c>
      <c r="G172">
        <v>3500000</v>
      </c>
      <c r="H172" t="s">
        <v>945</v>
      </c>
      <c r="I172" t="s">
        <v>946</v>
      </c>
    </row>
    <row r="173" spans="1:9" x14ac:dyDescent="0.25">
      <c r="A173" t="s">
        <v>1288</v>
      </c>
      <c r="B173" t="s">
        <v>924</v>
      </c>
      <c r="C173" t="s">
        <v>1289</v>
      </c>
      <c r="D173">
        <v>4600000</v>
      </c>
      <c r="E173">
        <v>100000</v>
      </c>
      <c r="F173">
        <v>4700000</v>
      </c>
      <c r="G173">
        <v>0</v>
      </c>
      <c r="H173" t="s">
        <v>952</v>
      </c>
      <c r="I173" t="s">
        <v>963</v>
      </c>
    </row>
    <row r="174" spans="1:9" x14ac:dyDescent="0.25">
      <c r="A174" t="s">
        <v>1290</v>
      </c>
      <c r="B174" t="s">
        <v>860</v>
      </c>
      <c r="C174" t="s">
        <v>1291</v>
      </c>
      <c r="D174">
        <v>1400000</v>
      </c>
      <c r="E174">
        <v>0</v>
      </c>
      <c r="F174">
        <v>1400000</v>
      </c>
      <c r="G174">
        <v>0</v>
      </c>
      <c r="H174" t="s">
        <v>952</v>
      </c>
      <c r="I174" t="s">
        <v>957</v>
      </c>
    </row>
    <row r="175" spans="1:9" x14ac:dyDescent="0.25">
      <c r="A175" t="s">
        <v>1292</v>
      </c>
      <c r="B175" t="s">
        <v>800</v>
      </c>
      <c r="C175" t="s">
        <v>1293</v>
      </c>
      <c r="D175">
        <v>2700000</v>
      </c>
      <c r="E175">
        <v>100000</v>
      </c>
      <c r="F175">
        <v>2800000</v>
      </c>
      <c r="G175">
        <v>0</v>
      </c>
      <c r="H175" t="s">
        <v>952</v>
      </c>
      <c r="I175" t="s">
        <v>949</v>
      </c>
    </row>
    <row r="176" spans="1:9" x14ac:dyDescent="0.25">
      <c r="A176" t="s">
        <v>1294</v>
      </c>
      <c r="B176" t="s">
        <v>739</v>
      </c>
      <c r="C176" t="s">
        <v>1295</v>
      </c>
      <c r="D176">
        <v>1900000</v>
      </c>
      <c r="E176">
        <v>0</v>
      </c>
      <c r="F176">
        <v>1900000</v>
      </c>
      <c r="G176">
        <v>1900000</v>
      </c>
      <c r="H176" t="s">
        <v>945</v>
      </c>
      <c r="I176" t="s">
        <v>960</v>
      </c>
    </row>
    <row r="177" spans="1:9" x14ac:dyDescent="0.25">
      <c r="A177" t="s">
        <v>1296</v>
      </c>
      <c r="B177" t="s">
        <v>844</v>
      </c>
      <c r="C177" t="s">
        <v>1297</v>
      </c>
      <c r="D177">
        <v>1000000</v>
      </c>
      <c r="E177">
        <v>0</v>
      </c>
      <c r="F177">
        <v>1000000</v>
      </c>
      <c r="G177">
        <v>1000000</v>
      </c>
      <c r="H177" t="s">
        <v>945</v>
      </c>
      <c r="I177" t="s">
        <v>960</v>
      </c>
    </row>
    <row r="178" spans="1:9" x14ac:dyDescent="0.25">
      <c r="A178" t="s">
        <v>1298</v>
      </c>
      <c r="B178" t="s">
        <v>657</v>
      </c>
      <c r="C178" t="s">
        <v>970</v>
      </c>
      <c r="D178">
        <v>800000</v>
      </c>
      <c r="E178">
        <v>0</v>
      </c>
      <c r="F178">
        <v>800000</v>
      </c>
      <c r="G178">
        <v>800000</v>
      </c>
      <c r="H178" t="s">
        <v>945</v>
      </c>
      <c r="I178" t="s">
        <v>960</v>
      </c>
    </row>
    <row r="179" spans="1:9" x14ac:dyDescent="0.25">
      <c r="A179" t="s">
        <v>1299</v>
      </c>
      <c r="B179" t="s">
        <v>773</v>
      </c>
      <c r="C179" t="s">
        <v>1300</v>
      </c>
      <c r="D179">
        <v>5600000</v>
      </c>
      <c r="E179">
        <v>100000</v>
      </c>
      <c r="F179">
        <v>5700000</v>
      </c>
      <c r="G179">
        <v>5700000</v>
      </c>
      <c r="H179" t="s">
        <v>945</v>
      </c>
      <c r="I179" t="s">
        <v>973</v>
      </c>
    </row>
    <row r="180" spans="1:9" x14ac:dyDescent="0.25">
      <c r="A180" t="s">
        <v>1301</v>
      </c>
      <c r="B180" t="s">
        <v>862</v>
      </c>
      <c r="C180" t="s">
        <v>1302</v>
      </c>
      <c r="D180">
        <v>200000</v>
      </c>
      <c r="E180">
        <v>0</v>
      </c>
      <c r="F180">
        <v>200000</v>
      </c>
      <c r="G180">
        <v>100000</v>
      </c>
      <c r="H180" t="s">
        <v>968</v>
      </c>
      <c r="I180" t="s">
        <v>963</v>
      </c>
    </row>
    <row r="181" spans="1:9" x14ac:dyDescent="0.25">
      <c r="A181" t="s">
        <v>1303</v>
      </c>
      <c r="B181" t="s">
        <v>800</v>
      </c>
      <c r="C181" t="s">
        <v>1304</v>
      </c>
      <c r="D181">
        <v>700000</v>
      </c>
      <c r="E181">
        <v>0</v>
      </c>
      <c r="F181">
        <v>700000</v>
      </c>
      <c r="G181">
        <v>700000</v>
      </c>
      <c r="H181" t="s">
        <v>1129</v>
      </c>
      <c r="I181" t="s">
        <v>963</v>
      </c>
    </row>
    <row r="182" spans="1:9" x14ac:dyDescent="0.25">
      <c r="A182" t="s">
        <v>1305</v>
      </c>
      <c r="B182" t="s">
        <v>833</v>
      </c>
      <c r="C182" t="s">
        <v>1306</v>
      </c>
      <c r="D182">
        <v>600000</v>
      </c>
      <c r="E182">
        <v>0</v>
      </c>
      <c r="F182">
        <v>600000</v>
      </c>
      <c r="G182">
        <v>600000</v>
      </c>
      <c r="H182" t="s">
        <v>945</v>
      </c>
      <c r="I182" t="s">
        <v>960</v>
      </c>
    </row>
    <row r="183" spans="1:9" x14ac:dyDescent="0.25">
      <c r="A183" t="s">
        <v>1307</v>
      </c>
      <c r="B183" t="s">
        <v>677</v>
      </c>
      <c r="C183" t="s">
        <v>1308</v>
      </c>
      <c r="D183">
        <v>3200000</v>
      </c>
      <c r="E183">
        <v>100000</v>
      </c>
      <c r="F183">
        <v>3300000</v>
      </c>
      <c r="G183">
        <v>-3300000</v>
      </c>
      <c r="H183" t="s">
        <v>945</v>
      </c>
      <c r="I183" t="s">
        <v>960</v>
      </c>
    </row>
    <row r="184" spans="1:9" x14ac:dyDescent="0.25">
      <c r="A184" t="s">
        <v>1309</v>
      </c>
      <c r="B184" t="s">
        <v>829</v>
      </c>
      <c r="C184" t="s">
        <v>1310</v>
      </c>
      <c r="D184">
        <v>3400000</v>
      </c>
      <c r="E184">
        <v>100000</v>
      </c>
      <c r="F184">
        <v>3500000</v>
      </c>
      <c r="G184">
        <v>3500000</v>
      </c>
      <c r="H184" t="s">
        <v>945</v>
      </c>
      <c r="I184" t="s">
        <v>946</v>
      </c>
    </row>
    <row r="185" spans="1:9" x14ac:dyDescent="0.25">
      <c r="A185" t="s">
        <v>1311</v>
      </c>
      <c r="B185" t="s">
        <v>669</v>
      </c>
      <c r="C185" t="s">
        <v>1312</v>
      </c>
      <c r="D185">
        <v>1100000</v>
      </c>
      <c r="E185">
        <v>0</v>
      </c>
      <c r="F185">
        <v>1100000</v>
      </c>
      <c r="G185">
        <v>1100000</v>
      </c>
      <c r="H185" t="s">
        <v>945</v>
      </c>
      <c r="I185" t="s">
        <v>953</v>
      </c>
    </row>
    <row r="186" spans="1:9" x14ac:dyDescent="0.25">
      <c r="A186" t="s">
        <v>1313</v>
      </c>
      <c r="B186" t="s">
        <v>729</v>
      </c>
      <c r="C186" t="s">
        <v>1314</v>
      </c>
      <c r="D186">
        <v>3900000</v>
      </c>
      <c r="E186">
        <v>100000</v>
      </c>
      <c r="F186">
        <v>4000000</v>
      </c>
      <c r="G186">
        <v>4000000</v>
      </c>
      <c r="H186" t="s">
        <v>945</v>
      </c>
      <c r="I186" t="s">
        <v>973</v>
      </c>
    </row>
    <row r="187" spans="1:9" x14ac:dyDescent="0.25">
      <c r="A187" t="s">
        <v>1315</v>
      </c>
      <c r="B187" t="s">
        <v>771</v>
      </c>
      <c r="C187" t="s">
        <v>1191</v>
      </c>
      <c r="D187">
        <v>5700000</v>
      </c>
      <c r="E187">
        <v>100000</v>
      </c>
      <c r="F187">
        <v>5800000</v>
      </c>
      <c r="G187">
        <v>2300000</v>
      </c>
      <c r="H187" t="s">
        <v>968</v>
      </c>
      <c r="I187" t="s">
        <v>957</v>
      </c>
    </row>
    <row r="188" spans="1:9" x14ac:dyDescent="0.25">
      <c r="A188" t="s">
        <v>1316</v>
      </c>
      <c r="B188" t="s">
        <v>759</v>
      </c>
      <c r="C188" t="s">
        <v>1317</v>
      </c>
      <c r="D188">
        <v>200000</v>
      </c>
      <c r="E188">
        <v>0</v>
      </c>
      <c r="F188">
        <v>200000</v>
      </c>
      <c r="G188">
        <v>0</v>
      </c>
      <c r="H188" t="s">
        <v>952</v>
      </c>
      <c r="I188" t="s">
        <v>949</v>
      </c>
    </row>
    <row r="189" spans="1:9" x14ac:dyDescent="0.25">
      <c r="A189" t="s">
        <v>1318</v>
      </c>
      <c r="B189" t="s">
        <v>780</v>
      </c>
      <c r="C189" t="s">
        <v>1319</v>
      </c>
      <c r="D189">
        <v>1000000</v>
      </c>
      <c r="E189">
        <v>0</v>
      </c>
      <c r="F189">
        <v>1000000</v>
      </c>
      <c r="G189">
        <v>500000</v>
      </c>
      <c r="H189" t="s">
        <v>968</v>
      </c>
      <c r="I189" t="s">
        <v>949</v>
      </c>
    </row>
    <row r="190" spans="1:9" x14ac:dyDescent="0.25">
      <c r="A190" t="s">
        <v>1320</v>
      </c>
      <c r="B190" t="s">
        <v>903</v>
      </c>
      <c r="C190" t="s">
        <v>1321</v>
      </c>
      <c r="D190">
        <v>5700000</v>
      </c>
      <c r="E190">
        <v>100000</v>
      </c>
      <c r="F190">
        <v>5800000</v>
      </c>
      <c r="G190">
        <v>5800000</v>
      </c>
      <c r="H190" t="s">
        <v>945</v>
      </c>
      <c r="I190" t="s">
        <v>963</v>
      </c>
    </row>
    <row r="191" spans="1:9" x14ac:dyDescent="0.25">
      <c r="A191" t="s">
        <v>1322</v>
      </c>
      <c r="B191" t="s">
        <v>892</v>
      </c>
      <c r="C191" t="s">
        <v>1323</v>
      </c>
      <c r="D191">
        <v>400000</v>
      </c>
      <c r="E191">
        <v>0</v>
      </c>
      <c r="F191">
        <v>400000</v>
      </c>
      <c r="G191">
        <v>400000</v>
      </c>
      <c r="H191" t="s">
        <v>945</v>
      </c>
      <c r="I191" t="s">
        <v>973</v>
      </c>
    </row>
    <row r="192" spans="1:9" x14ac:dyDescent="0.25">
      <c r="A192" t="s">
        <v>1324</v>
      </c>
      <c r="B192" t="s">
        <v>875</v>
      </c>
      <c r="C192" t="s">
        <v>1325</v>
      </c>
      <c r="D192">
        <v>800000</v>
      </c>
      <c r="E192">
        <v>0</v>
      </c>
      <c r="F192">
        <v>800000</v>
      </c>
      <c r="G192">
        <v>0</v>
      </c>
      <c r="H192" t="s">
        <v>952</v>
      </c>
      <c r="I192" t="s">
        <v>949</v>
      </c>
    </row>
    <row r="193" spans="1:9" x14ac:dyDescent="0.25">
      <c r="A193" t="s">
        <v>1326</v>
      </c>
      <c r="B193" t="s">
        <v>762</v>
      </c>
      <c r="C193" t="s">
        <v>1327</v>
      </c>
      <c r="D193">
        <v>3100000</v>
      </c>
      <c r="E193">
        <v>0</v>
      </c>
      <c r="F193">
        <v>3100000</v>
      </c>
      <c r="G193">
        <v>1100000</v>
      </c>
      <c r="H193" t="s">
        <v>968</v>
      </c>
      <c r="I193" t="s">
        <v>949</v>
      </c>
    </row>
    <row r="194" spans="1:9" x14ac:dyDescent="0.25">
      <c r="A194" t="s">
        <v>1328</v>
      </c>
      <c r="B194" t="s">
        <v>799</v>
      </c>
      <c r="C194" t="s">
        <v>1329</v>
      </c>
      <c r="D194">
        <v>2200000</v>
      </c>
      <c r="E194">
        <v>0</v>
      </c>
      <c r="F194">
        <v>2200000</v>
      </c>
      <c r="G194">
        <v>2200000</v>
      </c>
      <c r="H194" t="s">
        <v>945</v>
      </c>
      <c r="I194" t="s">
        <v>963</v>
      </c>
    </row>
    <row r="195" spans="1:9" x14ac:dyDescent="0.25">
      <c r="A195" t="s">
        <v>1330</v>
      </c>
      <c r="B195" t="s">
        <v>879</v>
      </c>
      <c r="C195" t="s">
        <v>1331</v>
      </c>
      <c r="D195">
        <v>4300000</v>
      </c>
      <c r="E195">
        <v>100000</v>
      </c>
      <c r="F195">
        <v>4400000</v>
      </c>
      <c r="G195">
        <v>4400000</v>
      </c>
      <c r="H195" t="s">
        <v>945</v>
      </c>
      <c r="I195" t="s">
        <v>949</v>
      </c>
    </row>
    <row r="196" spans="1:9" x14ac:dyDescent="0.25">
      <c r="A196" t="s">
        <v>1332</v>
      </c>
      <c r="B196" t="s">
        <v>875</v>
      </c>
      <c r="C196" t="s">
        <v>1333</v>
      </c>
      <c r="D196">
        <v>5100000</v>
      </c>
      <c r="E196">
        <v>100000</v>
      </c>
      <c r="F196">
        <v>5200000</v>
      </c>
      <c r="G196">
        <v>5200000</v>
      </c>
      <c r="H196" t="s">
        <v>945</v>
      </c>
      <c r="I196" t="s">
        <v>946</v>
      </c>
    </row>
    <row r="197" spans="1:9" x14ac:dyDescent="0.25">
      <c r="A197" t="s">
        <v>1334</v>
      </c>
      <c r="B197" t="s">
        <v>867</v>
      </c>
      <c r="C197" t="s">
        <v>1335</v>
      </c>
      <c r="D197">
        <v>2000000</v>
      </c>
      <c r="E197">
        <v>0</v>
      </c>
      <c r="F197">
        <v>2000000</v>
      </c>
      <c r="G197">
        <v>0</v>
      </c>
      <c r="H197" t="s">
        <v>952</v>
      </c>
      <c r="I197" t="s">
        <v>957</v>
      </c>
    </row>
    <row r="198" spans="1:9" x14ac:dyDescent="0.25">
      <c r="A198" t="s">
        <v>1336</v>
      </c>
      <c r="B198" t="s">
        <v>911</v>
      </c>
      <c r="C198" t="s">
        <v>784</v>
      </c>
      <c r="D198">
        <v>4800000</v>
      </c>
      <c r="E198">
        <v>100000</v>
      </c>
      <c r="F198">
        <v>4900000</v>
      </c>
      <c r="G198">
        <v>0</v>
      </c>
      <c r="H198" t="s">
        <v>952</v>
      </c>
      <c r="I198" t="s">
        <v>973</v>
      </c>
    </row>
    <row r="199" spans="1:9" x14ac:dyDescent="0.25">
      <c r="A199" t="s">
        <v>1337</v>
      </c>
      <c r="B199" t="s">
        <v>794</v>
      </c>
      <c r="C199" t="s">
        <v>1338</v>
      </c>
      <c r="D199">
        <v>1200000</v>
      </c>
      <c r="E199">
        <v>0</v>
      </c>
      <c r="F199">
        <v>1200000</v>
      </c>
      <c r="G199">
        <v>1200000</v>
      </c>
      <c r="H199" t="s">
        <v>945</v>
      </c>
      <c r="I199" t="s">
        <v>949</v>
      </c>
    </row>
    <row r="200" spans="1:9" x14ac:dyDescent="0.25">
      <c r="A200" t="s">
        <v>1339</v>
      </c>
      <c r="B200" t="s">
        <v>669</v>
      </c>
      <c r="C200" t="s">
        <v>1340</v>
      </c>
      <c r="D200">
        <v>5200000</v>
      </c>
      <c r="E200">
        <v>100000</v>
      </c>
      <c r="F200">
        <v>5300000</v>
      </c>
      <c r="G200">
        <v>3800000</v>
      </c>
      <c r="H200" t="s">
        <v>968</v>
      </c>
      <c r="I200" t="s">
        <v>949</v>
      </c>
    </row>
    <row r="201" spans="1:9" x14ac:dyDescent="0.25">
      <c r="A201" t="s">
        <v>1341</v>
      </c>
      <c r="B201" t="s">
        <v>765</v>
      </c>
      <c r="C201" t="s">
        <v>1342</v>
      </c>
      <c r="D201">
        <v>900000</v>
      </c>
      <c r="E201">
        <v>0</v>
      </c>
      <c r="F201">
        <v>900000</v>
      </c>
      <c r="G201">
        <v>900000</v>
      </c>
      <c r="H201" t="s">
        <v>945</v>
      </c>
    </row>
    <row r="202" spans="1:9" x14ac:dyDescent="0.25">
      <c r="A202" t="s">
        <v>1343</v>
      </c>
      <c r="B202" t="s">
        <v>885</v>
      </c>
      <c r="C202" t="s">
        <v>1344</v>
      </c>
      <c r="D202">
        <v>5800000</v>
      </c>
      <c r="E202">
        <v>100000</v>
      </c>
      <c r="F202">
        <v>5900000</v>
      </c>
      <c r="G202">
        <v>5900000</v>
      </c>
      <c r="H202" t="s">
        <v>945</v>
      </c>
      <c r="I202" t="s">
        <v>973</v>
      </c>
    </row>
    <row r="203" spans="1:9" x14ac:dyDescent="0.25">
      <c r="A203" t="s">
        <v>1345</v>
      </c>
      <c r="B203" t="s">
        <v>866</v>
      </c>
      <c r="C203" t="s">
        <v>1346</v>
      </c>
      <c r="D203">
        <v>1800000</v>
      </c>
      <c r="E203">
        <v>0</v>
      </c>
      <c r="F203">
        <v>1800000</v>
      </c>
      <c r="G203">
        <v>1800000</v>
      </c>
      <c r="H203" t="s">
        <v>945</v>
      </c>
      <c r="I203" t="s">
        <v>957</v>
      </c>
    </row>
    <row r="204" spans="1:9" x14ac:dyDescent="0.25">
      <c r="A204" t="s">
        <v>1347</v>
      </c>
      <c r="B204" t="s">
        <v>893</v>
      </c>
      <c r="C204" t="s">
        <v>1348</v>
      </c>
      <c r="D204">
        <v>300000</v>
      </c>
      <c r="E204">
        <v>0</v>
      </c>
      <c r="F204">
        <v>300000</v>
      </c>
      <c r="G204">
        <v>200000</v>
      </c>
      <c r="H204" t="s">
        <v>968</v>
      </c>
      <c r="I204" t="s">
        <v>963</v>
      </c>
    </row>
    <row r="205" spans="1:9" x14ac:dyDescent="0.25">
      <c r="A205" t="s">
        <v>1349</v>
      </c>
      <c r="B205" t="s">
        <v>880</v>
      </c>
      <c r="C205" t="s">
        <v>970</v>
      </c>
      <c r="D205">
        <v>5500000</v>
      </c>
      <c r="E205">
        <v>100000</v>
      </c>
      <c r="F205">
        <v>5600000</v>
      </c>
      <c r="G205">
        <v>5600000</v>
      </c>
      <c r="H205" t="s">
        <v>945</v>
      </c>
      <c r="I205" t="s">
        <v>963</v>
      </c>
    </row>
    <row r="206" spans="1:9" x14ac:dyDescent="0.25">
      <c r="A206" t="s">
        <v>1350</v>
      </c>
      <c r="B206" t="s">
        <v>729</v>
      </c>
      <c r="C206" t="s">
        <v>1351</v>
      </c>
      <c r="D206">
        <v>1200000</v>
      </c>
      <c r="E206">
        <v>0</v>
      </c>
      <c r="F206">
        <v>1200000</v>
      </c>
      <c r="G206">
        <v>1200000</v>
      </c>
      <c r="H206" t="s">
        <v>945</v>
      </c>
      <c r="I206" t="s">
        <v>973</v>
      </c>
    </row>
    <row r="207" spans="1:9" x14ac:dyDescent="0.25">
      <c r="A207" t="s">
        <v>1352</v>
      </c>
      <c r="B207" t="s">
        <v>925</v>
      </c>
      <c r="C207" t="s">
        <v>1353</v>
      </c>
      <c r="D207">
        <v>800000</v>
      </c>
      <c r="E207">
        <v>0</v>
      </c>
      <c r="F207">
        <v>800000</v>
      </c>
      <c r="G207">
        <v>800000</v>
      </c>
      <c r="H207" t="s">
        <v>945</v>
      </c>
      <c r="I207" t="s">
        <v>946</v>
      </c>
    </row>
    <row r="208" spans="1:9" x14ac:dyDescent="0.25">
      <c r="A208" t="s">
        <v>1354</v>
      </c>
      <c r="B208" t="s">
        <v>789</v>
      </c>
      <c r="C208" t="s">
        <v>1355</v>
      </c>
      <c r="D208">
        <v>3200000</v>
      </c>
      <c r="E208">
        <v>0</v>
      </c>
      <c r="F208">
        <v>3200000</v>
      </c>
      <c r="G208">
        <v>3200000</v>
      </c>
      <c r="H208" t="s">
        <v>945</v>
      </c>
      <c r="I208" t="s">
        <v>973</v>
      </c>
    </row>
    <row r="209" spans="1:9" x14ac:dyDescent="0.25">
      <c r="A209" t="s">
        <v>1356</v>
      </c>
      <c r="B209" t="s">
        <v>911</v>
      </c>
      <c r="C209" t="s">
        <v>1357</v>
      </c>
      <c r="D209">
        <v>2400000</v>
      </c>
      <c r="E209">
        <v>0</v>
      </c>
      <c r="F209">
        <v>2400000</v>
      </c>
      <c r="G209">
        <v>2400000</v>
      </c>
      <c r="H209" t="s">
        <v>945</v>
      </c>
      <c r="I209" t="s">
        <v>949</v>
      </c>
    </row>
    <row r="210" spans="1:9" x14ac:dyDescent="0.25">
      <c r="A210" t="s">
        <v>1358</v>
      </c>
      <c r="B210" t="s">
        <v>913</v>
      </c>
      <c r="C210" t="s">
        <v>1359</v>
      </c>
      <c r="D210">
        <v>4200000</v>
      </c>
      <c r="E210">
        <v>100000</v>
      </c>
      <c r="F210">
        <v>4300000</v>
      </c>
      <c r="G210">
        <v>4300000</v>
      </c>
      <c r="H210" t="s">
        <v>945</v>
      </c>
      <c r="I210" t="s">
        <v>953</v>
      </c>
    </row>
    <row r="211" spans="1:9" x14ac:dyDescent="0.25">
      <c r="A211" t="s">
        <v>1360</v>
      </c>
      <c r="B211" t="s">
        <v>734</v>
      </c>
      <c r="C211" t="s">
        <v>1361</v>
      </c>
      <c r="D211">
        <v>900000</v>
      </c>
      <c r="E211">
        <v>0</v>
      </c>
      <c r="F211">
        <v>900000</v>
      </c>
      <c r="G211">
        <v>900000</v>
      </c>
      <c r="H211" t="s">
        <v>945</v>
      </c>
      <c r="I211" t="s">
        <v>963</v>
      </c>
    </row>
    <row r="212" spans="1:9" x14ac:dyDescent="0.25">
      <c r="A212" t="s">
        <v>1362</v>
      </c>
      <c r="B212" t="s">
        <v>871</v>
      </c>
      <c r="C212" t="s">
        <v>1363</v>
      </c>
      <c r="D212">
        <v>1400000</v>
      </c>
      <c r="E212">
        <v>0</v>
      </c>
      <c r="F212">
        <v>1400000</v>
      </c>
      <c r="G212">
        <v>1400000</v>
      </c>
      <c r="H212" t="s">
        <v>945</v>
      </c>
      <c r="I212" t="s">
        <v>960</v>
      </c>
    </row>
    <row r="213" spans="1:9" x14ac:dyDescent="0.25">
      <c r="A213" t="s">
        <v>1364</v>
      </c>
      <c r="B213" t="s">
        <v>929</v>
      </c>
      <c r="C213" t="s">
        <v>1365</v>
      </c>
      <c r="D213">
        <v>500000</v>
      </c>
      <c r="E213">
        <v>0</v>
      </c>
      <c r="F213">
        <v>500000</v>
      </c>
      <c r="G213">
        <v>500000</v>
      </c>
      <c r="H213" t="s">
        <v>945</v>
      </c>
    </row>
    <row r="214" spans="1:9" x14ac:dyDescent="0.25">
      <c r="A214" t="s">
        <v>1366</v>
      </c>
      <c r="B214" t="s">
        <v>741</v>
      </c>
      <c r="C214" t="s">
        <v>1367</v>
      </c>
      <c r="D214">
        <v>800000</v>
      </c>
      <c r="E214">
        <v>0</v>
      </c>
      <c r="F214">
        <v>800000</v>
      </c>
      <c r="G214">
        <v>800000</v>
      </c>
      <c r="H214" t="s">
        <v>945</v>
      </c>
      <c r="I214" t="s">
        <v>963</v>
      </c>
    </row>
    <row r="215" spans="1:9" x14ac:dyDescent="0.25">
      <c r="A215" t="s">
        <v>1368</v>
      </c>
      <c r="B215" t="s">
        <v>816</v>
      </c>
      <c r="C215" t="s">
        <v>1369</v>
      </c>
      <c r="D215">
        <v>3400000</v>
      </c>
      <c r="E215">
        <v>100000</v>
      </c>
      <c r="F215">
        <v>3500000</v>
      </c>
      <c r="G215">
        <v>3500000</v>
      </c>
      <c r="H215" t="s">
        <v>945</v>
      </c>
      <c r="I215" t="s">
        <v>946</v>
      </c>
    </row>
    <row r="216" spans="1:9" x14ac:dyDescent="0.25">
      <c r="A216" t="s">
        <v>1370</v>
      </c>
      <c r="B216" t="s">
        <v>828</v>
      </c>
      <c r="C216" t="s">
        <v>1371</v>
      </c>
      <c r="D216">
        <v>1000000</v>
      </c>
      <c r="E216">
        <v>0</v>
      </c>
      <c r="F216">
        <v>1000000</v>
      </c>
      <c r="G216">
        <v>1000000</v>
      </c>
      <c r="H216" t="s">
        <v>945</v>
      </c>
      <c r="I216" t="s">
        <v>953</v>
      </c>
    </row>
    <row r="217" spans="1:9" x14ac:dyDescent="0.25">
      <c r="A217" t="s">
        <v>1372</v>
      </c>
      <c r="B217" t="s">
        <v>741</v>
      </c>
      <c r="C217" t="s">
        <v>1373</v>
      </c>
      <c r="D217">
        <v>2500000</v>
      </c>
      <c r="E217">
        <v>0</v>
      </c>
      <c r="F217">
        <v>2500000</v>
      </c>
      <c r="G217">
        <v>0</v>
      </c>
      <c r="H217" t="s">
        <v>952</v>
      </c>
      <c r="I217" t="s">
        <v>953</v>
      </c>
    </row>
    <row r="218" spans="1:9" x14ac:dyDescent="0.25">
      <c r="A218" t="s">
        <v>1374</v>
      </c>
      <c r="B218" t="s">
        <v>689</v>
      </c>
      <c r="C218" t="s">
        <v>1375</v>
      </c>
      <c r="D218">
        <v>3000000</v>
      </c>
      <c r="E218">
        <v>100000</v>
      </c>
      <c r="F218">
        <v>3100000</v>
      </c>
      <c r="G218">
        <v>3100000</v>
      </c>
      <c r="H218" t="s">
        <v>945</v>
      </c>
      <c r="I218" t="s">
        <v>957</v>
      </c>
    </row>
    <row r="219" spans="1:9" x14ac:dyDescent="0.25">
      <c r="A219" t="s">
        <v>1376</v>
      </c>
      <c r="B219" t="s">
        <v>829</v>
      </c>
      <c r="C219" t="s">
        <v>1377</v>
      </c>
      <c r="D219">
        <v>200000</v>
      </c>
      <c r="E219">
        <v>0</v>
      </c>
      <c r="F219">
        <v>200000</v>
      </c>
      <c r="G219">
        <v>200000</v>
      </c>
      <c r="H219" t="s">
        <v>968</v>
      </c>
      <c r="I219" t="s">
        <v>946</v>
      </c>
    </row>
    <row r="220" spans="1:9" x14ac:dyDescent="0.25">
      <c r="A220" t="s">
        <v>1378</v>
      </c>
      <c r="B220" t="s">
        <v>773</v>
      </c>
      <c r="C220" t="s">
        <v>1379</v>
      </c>
      <c r="D220">
        <v>600000</v>
      </c>
      <c r="E220">
        <v>0</v>
      </c>
      <c r="F220">
        <v>600000</v>
      </c>
      <c r="G220">
        <v>600000</v>
      </c>
      <c r="H220" t="s">
        <v>945</v>
      </c>
      <c r="I220" t="s">
        <v>953</v>
      </c>
    </row>
    <row r="221" spans="1:9" x14ac:dyDescent="0.25">
      <c r="A221" t="s">
        <v>1380</v>
      </c>
      <c r="B221" t="s">
        <v>930</v>
      </c>
      <c r="C221" t="s">
        <v>1381</v>
      </c>
      <c r="D221">
        <v>400000</v>
      </c>
      <c r="E221">
        <v>0</v>
      </c>
      <c r="F221">
        <v>400000</v>
      </c>
      <c r="G221">
        <v>-400000</v>
      </c>
      <c r="H221" t="s">
        <v>945</v>
      </c>
      <c r="I221" t="s">
        <v>973</v>
      </c>
    </row>
    <row r="222" spans="1:9" x14ac:dyDescent="0.25">
      <c r="A222" t="s">
        <v>1382</v>
      </c>
      <c r="B222" t="s">
        <v>767</v>
      </c>
      <c r="C222" t="s">
        <v>1383</v>
      </c>
      <c r="D222">
        <v>3500000</v>
      </c>
      <c r="E222">
        <v>100000</v>
      </c>
      <c r="F222">
        <v>3600000</v>
      </c>
      <c r="G222">
        <v>0</v>
      </c>
      <c r="H222" t="s">
        <v>952</v>
      </c>
      <c r="I222" t="s">
        <v>973</v>
      </c>
    </row>
    <row r="223" spans="1:9" x14ac:dyDescent="0.25">
      <c r="A223" t="s">
        <v>1384</v>
      </c>
      <c r="B223" t="s">
        <v>833</v>
      </c>
      <c r="C223" t="s">
        <v>1385</v>
      </c>
      <c r="D223">
        <v>2200000</v>
      </c>
      <c r="E223">
        <v>0</v>
      </c>
      <c r="F223">
        <v>2200000</v>
      </c>
      <c r="G223">
        <v>1500000</v>
      </c>
      <c r="H223" t="s">
        <v>968</v>
      </c>
      <c r="I223" t="s">
        <v>949</v>
      </c>
    </row>
    <row r="224" spans="1:9" x14ac:dyDescent="0.25">
      <c r="A224" t="s">
        <v>1386</v>
      </c>
      <c r="B224" t="s">
        <v>848</v>
      </c>
      <c r="C224" t="s">
        <v>1242</v>
      </c>
      <c r="D224">
        <v>7200000</v>
      </c>
      <c r="E224">
        <v>100000</v>
      </c>
      <c r="F224">
        <v>7300000</v>
      </c>
      <c r="G224">
        <v>4600000</v>
      </c>
      <c r="H224" t="s">
        <v>968</v>
      </c>
      <c r="I224" t="s">
        <v>949</v>
      </c>
    </row>
    <row r="225" spans="1:9" x14ac:dyDescent="0.25">
      <c r="A225" t="s">
        <v>1387</v>
      </c>
      <c r="B225" t="s">
        <v>850</v>
      </c>
      <c r="C225" t="s">
        <v>1388</v>
      </c>
      <c r="D225">
        <v>1700000</v>
      </c>
      <c r="E225">
        <v>0</v>
      </c>
      <c r="F225">
        <v>1700000</v>
      </c>
      <c r="G225">
        <v>1700000</v>
      </c>
      <c r="H225" t="s">
        <v>945</v>
      </c>
      <c r="I225" t="s">
        <v>960</v>
      </c>
    </row>
    <row r="226" spans="1:9" x14ac:dyDescent="0.25">
      <c r="A226" t="s">
        <v>1389</v>
      </c>
      <c r="B226" t="s">
        <v>825</v>
      </c>
      <c r="C226" t="s">
        <v>1390</v>
      </c>
      <c r="D226">
        <v>5700000</v>
      </c>
      <c r="E226">
        <v>100000</v>
      </c>
      <c r="F226">
        <v>5800000</v>
      </c>
      <c r="G226">
        <v>5800000</v>
      </c>
      <c r="H226" t="s">
        <v>945</v>
      </c>
      <c r="I226" t="s">
        <v>946</v>
      </c>
    </row>
    <row r="227" spans="1:9" x14ac:dyDescent="0.25">
      <c r="A227" t="s">
        <v>1391</v>
      </c>
      <c r="B227" t="s">
        <v>794</v>
      </c>
      <c r="C227" t="s">
        <v>1392</v>
      </c>
      <c r="D227">
        <v>6400000</v>
      </c>
      <c r="E227">
        <v>200000</v>
      </c>
      <c r="F227">
        <v>6600000</v>
      </c>
      <c r="G227">
        <v>6600000</v>
      </c>
      <c r="H227" t="s">
        <v>945</v>
      </c>
      <c r="I227" t="s">
        <v>963</v>
      </c>
    </row>
    <row r="228" spans="1:9" x14ac:dyDescent="0.25">
      <c r="A228" t="s">
        <v>1393</v>
      </c>
      <c r="B228" t="s">
        <v>875</v>
      </c>
      <c r="C228" t="s">
        <v>1394</v>
      </c>
      <c r="D228">
        <v>5700000</v>
      </c>
      <c r="E228">
        <v>100000</v>
      </c>
      <c r="F228">
        <v>5800000</v>
      </c>
      <c r="G228">
        <v>5800000</v>
      </c>
      <c r="H228" t="s">
        <v>945</v>
      </c>
      <c r="I228" t="s">
        <v>973</v>
      </c>
    </row>
    <row r="229" spans="1:9" x14ac:dyDescent="0.25">
      <c r="A229" t="s">
        <v>1395</v>
      </c>
      <c r="B229" t="s">
        <v>930</v>
      </c>
      <c r="C229" t="s">
        <v>1396</v>
      </c>
      <c r="D229">
        <v>1800000</v>
      </c>
      <c r="E229">
        <v>0</v>
      </c>
      <c r="F229">
        <v>1800000</v>
      </c>
      <c r="G229">
        <v>1800000</v>
      </c>
      <c r="H229" t="s">
        <v>945</v>
      </c>
      <c r="I229" t="s">
        <v>953</v>
      </c>
    </row>
    <row r="230" spans="1:9" x14ac:dyDescent="0.25">
      <c r="A230" t="s">
        <v>1397</v>
      </c>
      <c r="B230" t="s">
        <v>833</v>
      </c>
      <c r="C230" t="s">
        <v>802</v>
      </c>
      <c r="D230">
        <v>3800000</v>
      </c>
      <c r="E230">
        <v>0</v>
      </c>
      <c r="F230">
        <v>3800000</v>
      </c>
      <c r="G230">
        <v>3800000</v>
      </c>
      <c r="H230" t="s">
        <v>945</v>
      </c>
      <c r="I230" t="s">
        <v>960</v>
      </c>
    </row>
    <row r="231" spans="1:9" x14ac:dyDescent="0.25">
      <c r="A231" t="s">
        <v>1398</v>
      </c>
      <c r="B231" t="s">
        <v>729</v>
      </c>
      <c r="C231" t="s">
        <v>1399</v>
      </c>
      <c r="D231">
        <v>2300000</v>
      </c>
      <c r="E231">
        <v>100000</v>
      </c>
      <c r="F231">
        <v>2400000</v>
      </c>
      <c r="G231">
        <v>0</v>
      </c>
      <c r="H231" t="s">
        <v>952</v>
      </c>
      <c r="I231" t="s">
        <v>953</v>
      </c>
    </row>
    <row r="232" spans="1:9" x14ac:dyDescent="0.25">
      <c r="A232" t="s">
        <v>1400</v>
      </c>
      <c r="B232" t="s">
        <v>860</v>
      </c>
      <c r="C232" t="s">
        <v>1401</v>
      </c>
      <c r="D232">
        <v>200000</v>
      </c>
      <c r="E232">
        <v>0</v>
      </c>
      <c r="F232">
        <v>200000</v>
      </c>
      <c r="G232">
        <v>200000</v>
      </c>
      <c r="H232" t="s">
        <v>945</v>
      </c>
      <c r="I232" t="s">
        <v>973</v>
      </c>
    </row>
    <row r="233" spans="1:9" x14ac:dyDescent="0.25">
      <c r="A233" t="s">
        <v>1402</v>
      </c>
      <c r="B233" t="s">
        <v>813</v>
      </c>
      <c r="C233" t="s">
        <v>1403</v>
      </c>
      <c r="D233">
        <v>300000</v>
      </c>
      <c r="E233">
        <v>0</v>
      </c>
      <c r="F233">
        <v>300000</v>
      </c>
      <c r="G233">
        <v>100000</v>
      </c>
      <c r="H233" t="s">
        <v>968</v>
      </c>
    </row>
    <row r="234" spans="1:9" x14ac:dyDescent="0.25">
      <c r="A234" t="s">
        <v>1404</v>
      </c>
      <c r="B234" t="s">
        <v>907</v>
      </c>
      <c r="C234" t="s">
        <v>1405</v>
      </c>
      <c r="D234">
        <v>2100000</v>
      </c>
      <c r="E234">
        <v>100000</v>
      </c>
      <c r="F234">
        <v>2200000</v>
      </c>
      <c r="G234">
        <v>2200000</v>
      </c>
      <c r="H234" t="s">
        <v>945</v>
      </c>
      <c r="I234" t="s">
        <v>946</v>
      </c>
    </row>
    <row r="235" spans="1:9" x14ac:dyDescent="0.25">
      <c r="A235" t="s">
        <v>1406</v>
      </c>
      <c r="B235" t="s">
        <v>672</v>
      </c>
      <c r="C235" t="s">
        <v>1407</v>
      </c>
      <c r="D235">
        <v>200000</v>
      </c>
      <c r="E235">
        <v>0</v>
      </c>
      <c r="F235">
        <v>200000</v>
      </c>
      <c r="G235">
        <v>0</v>
      </c>
      <c r="H235" t="s">
        <v>952</v>
      </c>
      <c r="I235" t="s">
        <v>973</v>
      </c>
    </row>
    <row r="236" spans="1:9" x14ac:dyDescent="0.25">
      <c r="A236" t="s">
        <v>1408</v>
      </c>
      <c r="B236" t="s">
        <v>892</v>
      </c>
      <c r="C236" t="s">
        <v>1409</v>
      </c>
      <c r="D236">
        <v>1700000</v>
      </c>
      <c r="E236">
        <v>0</v>
      </c>
      <c r="F236">
        <v>1700000</v>
      </c>
      <c r="G236">
        <v>1700000</v>
      </c>
      <c r="H236" t="s">
        <v>945</v>
      </c>
      <c r="I236" t="s">
        <v>957</v>
      </c>
    </row>
    <row r="237" spans="1:9" x14ac:dyDescent="0.25">
      <c r="A237" t="s">
        <v>1410</v>
      </c>
      <c r="B237" t="s">
        <v>932</v>
      </c>
      <c r="C237" t="s">
        <v>1411</v>
      </c>
      <c r="D237">
        <v>3700000</v>
      </c>
      <c r="E237">
        <v>100000</v>
      </c>
      <c r="F237">
        <v>3800000</v>
      </c>
      <c r="G237">
        <v>3800000</v>
      </c>
      <c r="H237" t="s">
        <v>945</v>
      </c>
      <c r="I237" t="s">
        <v>973</v>
      </c>
    </row>
    <row r="238" spans="1:9" x14ac:dyDescent="0.25">
      <c r="A238" t="s">
        <v>1412</v>
      </c>
      <c r="B238" t="s">
        <v>705</v>
      </c>
      <c r="C238" t="s">
        <v>1413</v>
      </c>
      <c r="D238">
        <v>4500000</v>
      </c>
      <c r="E238">
        <v>0</v>
      </c>
      <c r="F238">
        <v>4500000</v>
      </c>
      <c r="G238">
        <v>4500000</v>
      </c>
      <c r="H238" t="s">
        <v>945</v>
      </c>
      <c r="I238" t="s">
        <v>963</v>
      </c>
    </row>
    <row r="239" spans="1:9" x14ac:dyDescent="0.25">
      <c r="A239" t="s">
        <v>1414</v>
      </c>
      <c r="B239" t="s">
        <v>812</v>
      </c>
      <c r="C239" t="s">
        <v>1415</v>
      </c>
      <c r="D239">
        <v>2900000</v>
      </c>
      <c r="E239">
        <v>100000</v>
      </c>
      <c r="F239">
        <v>3000000</v>
      </c>
      <c r="G239">
        <v>3000000</v>
      </c>
      <c r="H239" t="s">
        <v>945</v>
      </c>
      <c r="I239" t="s">
        <v>946</v>
      </c>
    </row>
    <row r="240" spans="1:9" x14ac:dyDescent="0.25">
      <c r="A240" t="s">
        <v>1416</v>
      </c>
      <c r="B240" t="s">
        <v>778</v>
      </c>
      <c r="C240" t="s">
        <v>1417</v>
      </c>
      <c r="D240">
        <v>500000</v>
      </c>
      <c r="E240">
        <v>0</v>
      </c>
      <c r="F240">
        <v>500000</v>
      </c>
      <c r="G240">
        <v>500000</v>
      </c>
      <c r="H240" t="s">
        <v>945</v>
      </c>
      <c r="I240" t="s">
        <v>957</v>
      </c>
    </row>
    <row r="241" spans="1:9" x14ac:dyDescent="0.25">
      <c r="A241" t="s">
        <v>1418</v>
      </c>
      <c r="B241" t="s">
        <v>799</v>
      </c>
      <c r="C241" t="s">
        <v>1419</v>
      </c>
      <c r="D241">
        <v>3800000</v>
      </c>
      <c r="E241">
        <v>0</v>
      </c>
      <c r="F241">
        <v>3800000</v>
      </c>
      <c r="G241">
        <v>2700000</v>
      </c>
      <c r="H241" t="s">
        <v>968</v>
      </c>
      <c r="I241" t="s">
        <v>946</v>
      </c>
    </row>
    <row r="242" spans="1:9" x14ac:dyDescent="0.25">
      <c r="A242" t="s">
        <v>1420</v>
      </c>
      <c r="B242" t="s">
        <v>774</v>
      </c>
      <c r="C242" t="s">
        <v>1421</v>
      </c>
      <c r="D242">
        <v>1500000</v>
      </c>
      <c r="E242">
        <v>0</v>
      </c>
      <c r="F242">
        <v>1500000</v>
      </c>
      <c r="G242">
        <v>0</v>
      </c>
      <c r="H242" t="s">
        <v>952</v>
      </c>
      <c r="I242" t="s">
        <v>957</v>
      </c>
    </row>
    <row r="243" spans="1:9" x14ac:dyDescent="0.25">
      <c r="A243" t="s">
        <v>1422</v>
      </c>
      <c r="B243" t="s">
        <v>697</v>
      </c>
      <c r="C243" t="s">
        <v>1423</v>
      </c>
      <c r="D243">
        <v>3900000</v>
      </c>
      <c r="E243">
        <v>100000</v>
      </c>
      <c r="F243">
        <v>4000000</v>
      </c>
      <c r="G243">
        <v>4000000</v>
      </c>
      <c r="H243" t="s">
        <v>945</v>
      </c>
      <c r="I243" t="s">
        <v>949</v>
      </c>
    </row>
    <row r="244" spans="1:9" x14ac:dyDescent="0.25">
      <c r="A244" t="s">
        <v>1424</v>
      </c>
      <c r="B244" t="s">
        <v>780</v>
      </c>
      <c r="C244" t="s">
        <v>1119</v>
      </c>
      <c r="D244">
        <v>5600000</v>
      </c>
      <c r="E244">
        <v>100000</v>
      </c>
      <c r="F244">
        <v>5700000</v>
      </c>
      <c r="G244">
        <v>5700000</v>
      </c>
      <c r="H244" t="s">
        <v>945</v>
      </c>
      <c r="I244" t="s">
        <v>957</v>
      </c>
    </row>
    <row r="245" spans="1:9" x14ac:dyDescent="0.25">
      <c r="A245" t="s">
        <v>1425</v>
      </c>
      <c r="B245" t="s">
        <v>799</v>
      </c>
      <c r="C245" t="s">
        <v>1426</v>
      </c>
      <c r="D245">
        <v>2100000</v>
      </c>
      <c r="E245">
        <v>0</v>
      </c>
      <c r="F245">
        <v>2100000</v>
      </c>
      <c r="G245">
        <v>2100000</v>
      </c>
      <c r="H245" t="s">
        <v>945</v>
      </c>
      <c r="I245" t="s">
        <v>963</v>
      </c>
    </row>
    <row r="246" spans="1:9" x14ac:dyDescent="0.25">
      <c r="A246" t="s">
        <v>1427</v>
      </c>
      <c r="B246" t="s">
        <v>844</v>
      </c>
      <c r="C246" t="s">
        <v>1428</v>
      </c>
      <c r="D246">
        <v>1700000</v>
      </c>
      <c r="E246">
        <v>0</v>
      </c>
      <c r="F246">
        <v>1700000</v>
      </c>
      <c r="G246">
        <v>1700000</v>
      </c>
      <c r="H246" t="s">
        <v>945</v>
      </c>
      <c r="I246" t="s">
        <v>953</v>
      </c>
    </row>
    <row r="247" spans="1:9" x14ac:dyDescent="0.25">
      <c r="A247" t="s">
        <v>1429</v>
      </c>
      <c r="B247" t="s">
        <v>785</v>
      </c>
      <c r="C247" t="s">
        <v>1430</v>
      </c>
      <c r="D247">
        <v>1100000</v>
      </c>
      <c r="E247">
        <v>0</v>
      </c>
      <c r="F247">
        <v>1100000</v>
      </c>
      <c r="G247">
        <v>700000</v>
      </c>
      <c r="H247" t="s">
        <v>968</v>
      </c>
    </row>
    <row r="248" spans="1:9" x14ac:dyDescent="0.25">
      <c r="A248" t="s">
        <v>1431</v>
      </c>
      <c r="B248" t="s">
        <v>753</v>
      </c>
      <c r="C248" t="s">
        <v>1432</v>
      </c>
      <c r="D248">
        <v>1000000</v>
      </c>
      <c r="E248">
        <v>0</v>
      </c>
      <c r="F248">
        <v>1000000</v>
      </c>
      <c r="G248">
        <v>1000000</v>
      </c>
      <c r="H248" t="s">
        <v>945</v>
      </c>
      <c r="I248" t="s">
        <v>953</v>
      </c>
    </row>
    <row r="249" spans="1:9" x14ac:dyDescent="0.25">
      <c r="A249" t="s">
        <v>1433</v>
      </c>
      <c r="B249" t="s">
        <v>669</v>
      </c>
      <c r="C249" t="s">
        <v>1434</v>
      </c>
      <c r="D249">
        <v>3100000</v>
      </c>
      <c r="E249">
        <v>100000</v>
      </c>
      <c r="F249">
        <v>3200000</v>
      </c>
      <c r="G249">
        <v>3200000</v>
      </c>
      <c r="H249" t="s">
        <v>945</v>
      </c>
      <c r="I249" t="s">
        <v>949</v>
      </c>
    </row>
    <row r="250" spans="1:9" x14ac:dyDescent="0.25">
      <c r="A250" t="s">
        <v>1435</v>
      </c>
      <c r="B250" t="s">
        <v>925</v>
      </c>
      <c r="C250" t="s">
        <v>1436</v>
      </c>
      <c r="D250">
        <v>6300000</v>
      </c>
      <c r="E250">
        <v>100000</v>
      </c>
      <c r="F250">
        <v>6400000</v>
      </c>
      <c r="G250">
        <v>6400000</v>
      </c>
      <c r="H250" t="s">
        <v>945</v>
      </c>
      <c r="I250" t="s">
        <v>946</v>
      </c>
    </row>
    <row r="251" spans="1:9" x14ac:dyDescent="0.25">
      <c r="A251" t="s">
        <v>1437</v>
      </c>
      <c r="B251" t="s">
        <v>791</v>
      </c>
      <c r="C251" t="s">
        <v>1438</v>
      </c>
      <c r="D251">
        <v>3600000</v>
      </c>
      <c r="E251">
        <v>100000</v>
      </c>
      <c r="F251">
        <v>3700000</v>
      </c>
      <c r="G251">
        <v>2800000</v>
      </c>
      <c r="H251" t="s">
        <v>968</v>
      </c>
      <c r="I251" t="s">
        <v>973</v>
      </c>
    </row>
    <row r="252" spans="1:9" x14ac:dyDescent="0.25">
      <c r="A252" t="s">
        <v>1439</v>
      </c>
      <c r="B252" t="s">
        <v>777</v>
      </c>
      <c r="C252" t="s">
        <v>1440</v>
      </c>
      <c r="D252">
        <v>1100000</v>
      </c>
      <c r="E252">
        <v>0</v>
      </c>
      <c r="F252">
        <v>1100000</v>
      </c>
      <c r="G252">
        <v>1100000</v>
      </c>
      <c r="H252" t="s">
        <v>945</v>
      </c>
      <c r="I252" t="s">
        <v>957</v>
      </c>
    </row>
    <row r="253" spans="1:9" x14ac:dyDescent="0.25">
      <c r="A253" t="s">
        <v>1441</v>
      </c>
      <c r="B253" t="s">
        <v>738</v>
      </c>
      <c r="C253" t="s">
        <v>1442</v>
      </c>
      <c r="D253">
        <v>3900000</v>
      </c>
      <c r="E253">
        <v>100000</v>
      </c>
      <c r="F253">
        <v>4000000</v>
      </c>
      <c r="G253">
        <v>0</v>
      </c>
      <c r="H253" t="s">
        <v>952</v>
      </c>
      <c r="I253" t="s">
        <v>963</v>
      </c>
    </row>
    <row r="254" spans="1:9" x14ac:dyDescent="0.25">
      <c r="A254" t="s">
        <v>1443</v>
      </c>
      <c r="B254" t="s">
        <v>866</v>
      </c>
      <c r="C254" t="s">
        <v>1444</v>
      </c>
      <c r="D254">
        <v>1900000</v>
      </c>
      <c r="E254">
        <v>0</v>
      </c>
      <c r="F254">
        <v>1900000</v>
      </c>
      <c r="G254">
        <v>1900000</v>
      </c>
      <c r="H254" t="s">
        <v>945</v>
      </c>
      <c r="I254" t="s">
        <v>960</v>
      </c>
    </row>
    <row r="255" spans="1:9" x14ac:dyDescent="0.25">
      <c r="A255" t="s">
        <v>1445</v>
      </c>
      <c r="B255" t="s">
        <v>795</v>
      </c>
      <c r="C255" t="s">
        <v>1446</v>
      </c>
      <c r="D255">
        <v>2100000</v>
      </c>
      <c r="E255">
        <v>0</v>
      </c>
      <c r="F255">
        <v>2100000</v>
      </c>
      <c r="G255">
        <v>0</v>
      </c>
      <c r="H255" t="s">
        <v>952</v>
      </c>
      <c r="I255" t="s">
        <v>949</v>
      </c>
    </row>
    <row r="256" spans="1:9" x14ac:dyDescent="0.25">
      <c r="A256" t="s">
        <v>1447</v>
      </c>
      <c r="B256" t="s">
        <v>785</v>
      </c>
      <c r="C256" t="s">
        <v>1448</v>
      </c>
      <c r="D256">
        <v>3500000</v>
      </c>
      <c r="E256">
        <v>100000</v>
      </c>
      <c r="F256">
        <v>3600000</v>
      </c>
      <c r="G256">
        <v>0</v>
      </c>
      <c r="H256" t="s">
        <v>952</v>
      </c>
      <c r="I256" t="s">
        <v>963</v>
      </c>
    </row>
    <row r="257" spans="1:9" x14ac:dyDescent="0.25">
      <c r="A257" t="s">
        <v>1449</v>
      </c>
      <c r="B257" t="s">
        <v>767</v>
      </c>
      <c r="C257" t="s">
        <v>1450</v>
      </c>
      <c r="D257">
        <v>1600000</v>
      </c>
      <c r="E257">
        <v>0</v>
      </c>
      <c r="F257">
        <v>1600000</v>
      </c>
      <c r="G257">
        <v>1600000</v>
      </c>
      <c r="H257" t="s">
        <v>945</v>
      </c>
      <c r="I257" t="s">
        <v>949</v>
      </c>
    </row>
    <row r="258" spans="1:9" x14ac:dyDescent="0.25">
      <c r="A258" t="s">
        <v>1451</v>
      </c>
      <c r="B258" t="s">
        <v>881</v>
      </c>
      <c r="C258" t="s">
        <v>1452</v>
      </c>
      <c r="D258">
        <v>1100000</v>
      </c>
      <c r="E258">
        <v>0</v>
      </c>
      <c r="F258">
        <v>1100000</v>
      </c>
      <c r="G258">
        <v>0</v>
      </c>
      <c r="H258" t="s">
        <v>952</v>
      </c>
      <c r="I258" t="s">
        <v>946</v>
      </c>
    </row>
    <row r="259" spans="1:9" x14ac:dyDescent="0.25">
      <c r="A259" t="s">
        <v>1453</v>
      </c>
      <c r="B259" t="s">
        <v>872</v>
      </c>
      <c r="C259" t="s">
        <v>1454</v>
      </c>
      <c r="D259">
        <v>2500000</v>
      </c>
      <c r="E259">
        <v>0</v>
      </c>
      <c r="F259">
        <v>2500000</v>
      </c>
      <c r="G259">
        <v>2500000</v>
      </c>
      <c r="H259" t="s">
        <v>945</v>
      </c>
    </row>
    <row r="260" spans="1:9" x14ac:dyDescent="0.25">
      <c r="A260" t="s">
        <v>1455</v>
      </c>
      <c r="B260" t="s">
        <v>881</v>
      </c>
      <c r="C260" t="s">
        <v>1456</v>
      </c>
      <c r="D260">
        <v>5800000</v>
      </c>
      <c r="E260">
        <v>100000</v>
      </c>
      <c r="F260">
        <v>5900000</v>
      </c>
      <c r="G260">
        <v>5900000</v>
      </c>
      <c r="H260" t="s">
        <v>945</v>
      </c>
      <c r="I260" t="s">
        <v>963</v>
      </c>
    </row>
    <row r="261" spans="1:9" x14ac:dyDescent="0.25">
      <c r="A261" t="s">
        <v>1457</v>
      </c>
      <c r="B261" t="s">
        <v>754</v>
      </c>
      <c r="C261" t="s">
        <v>1458</v>
      </c>
      <c r="D261">
        <v>4100000</v>
      </c>
      <c r="E261">
        <v>100000</v>
      </c>
      <c r="F261">
        <v>4200000</v>
      </c>
      <c r="G261">
        <v>4200000</v>
      </c>
      <c r="H261" t="s">
        <v>945</v>
      </c>
      <c r="I261" t="s">
        <v>973</v>
      </c>
    </row>
    <row r="262" spans="1:9" x14ac:dyDescent="0.25">
      <c r="A262" t="s">
        <v>1459</v>
      </c>
      <c r="B262" t="s">
        <v>776</v>
      </c>
      <c r="C262" t="s">
        <v>1460</v>
      </c>
      <c r="D262">
        <v>3300000</v>
      </c>
      <c r="E262">
        <v>100000</v>
      </c>
      <c r="F262">
        <v>3400000</v>
      </c>
      <c r="G262">
        <v>3400000</v>
      </c>
      <c r="H262" t="s">
        <v>1129</v>
      </c>
      <c r="I262" t="s">
        <v>963</v>
      </c>
    </row>
    <row r="263" spans="1:9" x14ac:dyDescent="0.25">
      <c r="A263" t="s">
        <v>1461</v>
      </c>
      <c r="B263" t="s">
        <v>925</v>
      </c>
      <c r="C263" t="s">
        <v>1462</v>
      </c>
      <c r="D263">
        <v>2300000</v>
      </c>
      <c r="E263">
        <v>100000</v>
      </c>
      <c r="F263">
        <v>2400000</v>
      </c>
      <c r="G263">
        <v>0</v>
      </c>
      <c r="H263" t="s">
        <v>952</v>
      </c>
      <c r="I263" t="s">
        <v>953</v>
      </c>
    </row>
    <row r="264" spans="1:9" x14ac:dyDescent="0.25">
      <c r="A264" t="s">
        <v>1463</v>
      </c>
      <c r="B264" t="s">
        <v>777</v>
      </c>
      <c r="C264" t="s">
        <v>1464</v>
      </c>
      <c r="D264">
        <v>200000</v>
      </c>
      <c r="E264">
        <v>0</v>
      </c>
      <c r="F264">
        <v>200000</v>
      </c>
      <c r="G264">
        <v>200000</v>
      </c>
      <c r="H264" t="s">
        <v>968</v>
      </c>
      <c r="I264" t="s">
        <v>949</v>
      </c>
    </row>
    <row r="265" spans="1:9" x14ac:dyDescent="0.25">
      <c r="A265" t="s">
        <v>1465</v>
      </c>
      <c r="B265" t="s">
        <v>933</v>
      </c>
      <c r="C265" t="s">
        <v>1466</v>
      </c>
      <c r="D265">
        <v>1900000</v>
      </c>
      <c r="E265">
        <v>0</v>
      </c>
      <c r="F265">
        <v>1900000</v>
      </c>
      <c r="G265">
        <v>1900000</v>
      </c>
      <c r="H265" t="s">
        <v>945</v>
      </c>
      <c r="I265" t="s">
        <v>953</v>
      </c>
    </row>
    <row r="266" spans="1:9" x14ac:dyDescent="0.25">
      <c r="A266" t="s">
        <v>1467</v>
      </c>
      <c r="B266" t="s">
        <v>721</v>
      </c>
      <c r="C266" t="s">
        <v>1468</v>
      </c>
      <c r="D266">
        <v>2300000</v>
      </c>
      <c r="E266">
        <v>0</v>
      </c>
      <c r="F266">
        <v>2300000</v>
      </c>
      <c r="G266">
        <v>2300000</v>
      </c>
      <c r="H266" t="s">
        <v>945</v>
      </c>
      <c r="I266" t="s">
        <v>963</v>
      </c>
    </row>
    <row r="267" spans="1:9" x14ac:dyDescent="0.25">
      <c r="A267" t="s">
        <v>1469</v>
      </c>
      <c r="B267" t="s">
        <v>748</v>
      </c>
      <c r="C267" t="s">
        <v>1470</v>
      </c>
      <c r="D267">
        <v>2900000</v>
      </c>
      <c r="E267">
        <v>0</v>
      </c>
      <c r="F267">
        <v>2900000</v>
      </c>
      <c r="G267">
        <v>2900000</v>
      </c>
      <c r="H267" t="s">
        <v>1129</v>
      </c>
      <c r="I267" t="s">
        <v>949</v>
      </c>
    </row>
    <row r="268" spans="1:9" x14ac:dyDescent="0.25">
      <c r="A268" t="s">
        <v>1471</v>
      </c>
      <c r="B268" t="s">
        <v>735</v>
      </c>
      <c r="C268" t="s">
        <v>1472</v>
      </c>
      <c r="D268">
        <v>1800000</v>
      </c>
      <c r="E268">
        <v>0</v>
      </c>
      <c r="F268">
        <v>1800000</v>
      </c>
      <c r="G268">
        <v>1800000</v>
      </c>
      <c r="H268" t="s">
        <v>945</v>
      </c>
      <c r="I268" t="s">
        <v>963</v>
      </c>
    </row>
    <row r="269" spans="1:9" x14ac:dyDescent="0.25">
      <c r="A269" t="s">
        <v>1473</v>
      </c>
      <c r="B269" t="s">
        <v>735</v>
      </c>
      <c r="C269" t="s">
        <v>1474</v>
      </c>
      <c r="D269">
        <v>2300000</v>
      </c>
      <c r="E269">
        <v>0</v>
      </c>
      <c r="F269">
        <v>2300000</v>
      </c>
      <c r="G269">
        <v>2300000</v>
      </c>
      <c r="H269" t="s">
        <v>945</v>
      </c>
    </row>
    <row r="270" spans="1:9" x14ac:dyDescent="0.25">
      <c r="A270" t="s">
        <v>1475</v>
      </c>
      <c r="B270" t="s">
        <v>892</v>
      </c>
      <c r="C270" t="s">
        <v>1476</v>
      </c>
      <c r="D270">
        <v>1900000</v>
      </c>
      <c r="E270">
        <v>0</v>
      </c>
      <c r="F270">
        <v>1900000</v>
      </c>
      <c r="G270">
        <v>1900000</v>
      </c>
      <c r="H270" t="s">
        <v>945</v>
      </c>
      <c r="I270" t="s">
        <v>963</v>
      </c>
    </row>
    <row r="271" spans="1:9" x14ac:dyDescent="0.25">
      <c r="A271" t="s">
        <v>1477</v>
      </c>
      <c r="B271" t="s">
        <v>782</v>
      </c>
      <c r="C271" t="s">
        <v>1478</v>
      </c>
      <c r="D271">
        <v>2800000</v>
      </c>
      <c r="E271">
        <v>0</v>
      </c>
      <c r="F271">
        <v>2800000</v>
      </c>
      <c r="G271">
        <v>1400000</v>
      </c>
      <c r="H271" t="s">
        <v>968</v>
      </c>
      <c r="I271" t="s">
        <v>953</v>
      </c>
    </row>
    <row r="272" spans="1:9" x14ac:dyDescent="0.25">
      <c r="A272" t="s">
        <v>1479</v>
      </c>
      <c r="B272" t="s">
        <v>862</v>
      </c>
      <c r="C272" t="s">
        <v>1480</v>
      </c>
      <c r="D272">
        <v>2900000</v>
      </c>
      <c r="E272">
        <v>100000</v>
      </c>
      <c r="F272">
        <v>3000000</v>
      </c>
      <c r="G272">
        <v>2200000</v>
      </c>
      <c r="H272" t="s">
        <v>968</v>
      </c>
      <c r="I272" t="s">
        <v>953</v>
      </c>
    </row>
    <row r="273" spans="1:9" x14ac:dyDescent="0.25">
      <c r="A273" t="s">
        <v>1481</v>
      </c>
      <c r="B273" t="s">
        <v>862</v>
      </c>
      <c r="C273" t="s">
        <v>1482</v>
      </c>
      <c r="D273">
        <v>1900000</v>
      </c>
      <c r="E273">
        <v>0</v>
      </c>
      <c r="F273">
        <v>1900000</v>
      </c>
      <c r="G273">
        <v>1900000</v>
      </c>
      <c r="H273" t="s">
        <v>945</v>
      </c>
      <c r="I273" t="s">
        <v>973</v>
      </c>
    </row>
    <row r="274" spans="1:9" x14ac:dyDescent="0.25">
      <c r="A274" t="s">
        <v>1483</v>
      </c>
      <c r="B274" t="s">
        <v>879</v>
      </c>
      <c r="C274" t="s">
        <v>1484</v>
      </c>
      <c r="D274">
        <v>2600000</v>
      </c>
      <c r="E274">
        <v>0</v>
      </c>
      <c r="F274">
        <v>2600000</v>
      </c>
      <c r="G274">
        <v>1400000</v>
      </c>
      <c r="H274" t="s">
        <v>968</v>
      </c>
      <c r="I274" t="s">
        <v>963</v>
      </c>
    </row>
    <row r="275" spans="1:9" x14ac:dyDescent="0.25">
      <c r="A275" t="s">
        <v>1485</v>
      </c>
      <c r="B275" t="s">
        <v>780</v>
      </c>
      <c r="C275" t="s">
        <v>1486</v>
      </c>
      <c r="D275">
        <v>1300000</v>
      </c>
      <c r="E275">
        <v>0</v>
      </c>
      <c r="F275">
        <v>1300000</v>
      </c>
      <c r="G275">
        <v>1300000</v>
      </c>
      <c r="H275" t="s">
        <v>945</v>
      </c>
      <c r="I275" t="s">
        <v>949</v>
      </c>
    </row>
    <row r="276" spans="1:9" x14ac:dyDescent="0.25">
      <c r="A276" t="s">
        <v>1487</v>
      </c>
      <c r="B276" t="s">
        <v>816</v>
      </c>
      <c r="C276" t="s">
        <v>756</v>
      </c>
      <c r="D276">
        <v>2100000</v>
      </c>
      <c r="E276">
        <v>0</v>
      </c>
      <c r="F276">
        <v>2100000</v>
      </c>
      <c r="G276">
        <v>2100000</v>
      </c>
      <c r="H276" t="s">
        <v>945</v>
      </c>
      <c r="I276" t="s">
        <v>953</v>
      </c>
    </row>
    <row r="277" spans="1:9" x14ac:dyDescent="0.25">
      <c r="A277" t="s">
        <v>1488</v>
      </c>
      <c r="B277" t="s">
        <v>840</v>
      </c>
      <c r="C277" t="s">
        <v>1489</v>
      </c>
      <c r="D277">
        <v>600000</v>
      </c>
      <c r="E277">
        <v>0</v>
      </c>
      <c r="F277">
        <v>600000</v>
      </c>
      <c r="G277">
        <v>600000</v>
      </c>
      <c r="H277" t="s">
        <v>945</v>
      </c>
    </row>
    <row r="278" spans="1:9" x14ac:dyDescent="0.25">
      <c r="A278" t="s">
        <v>1490</v>
      </c>
      <c r="B278" t="s">
        <v>785</v>
      </c>
      <c r="C278" t="s">
        <v>1491</v>
      </c>
      <c r="D278">
        <v>200000</v>
      </c>
      <c r="E278">
        <v>0</v>
      </c>
      <c r="F278">
        <v>200000</v>
      </c>
      <c r="G278">
        <v>200000</v>
      </c>
      <c r="H278" t="s">
        <v>945</v>
      </c>
      <c r="I278" t="s">
        <v>953</v>
      </c>
    </row>
    <row r="279" spans="1:9" x14ac:dyDescent="0.25">
      <c r="A279" t="s">
        <v>1492</v>
      </c>
      <c r="B279" t="s">
        <v>794</v>
      </c>
      <c r="C279" t="s">
        <v>1321</v>
      </c>
      <c r="D279">
        <v>400000</v>
      </c>
      <c r="E279">
        <v>0</v>
      </c>
      <c r="F279">
        <v>400000</v>
      </c>
      <c r="G279">
        <v>400000</v>
      </c>
      <c r="H279" t="s">
        <v>945</v>
      </c>
      <c r="I279" t="s">
        <v>973</v>
      </c>
    </row>
    <row r="280" spans="1:9" x14ac:dyDescent="0.25">
      <c r="A280" t="s">
        <v>1493</v>
      </c>
      <c r="B280" t="s">
        <v>743</v>
      </c>
      <c r="C280" t="s">
        <v>1494</v>
      </c>
      <c r="D280">
        <v>100000</v>
      </c>
      <c r="E280">
        <v>0</v>
      </c>
      <c r="F280">
        <v>100000</v>
      </c>
      <c r="G280">
        <v>0</v>
      </c>
      <c r="H280" t="s">
        <v>952</v>
      </c>
      <c r="I280" t="s">
        <v>973</v>
      </c>
    </row>
    <row r="281" spans="1:9" x14ac:dyDescent="0.25">
      <c r="A281" t="s">
        <v>1495</v>
      </c>
      <c r="B281" t="s">
        <v>884</v>
      </c>
      <c r="C281" t="s">
        <v>1496</v>
      </c>
      <c r="D281">
        <v>1600000</v>
      </c>
      <c r="E281">
        <v>0</v>
      </c>
      <c r="F281">
        <v>1600000</v>
      </c>
      <c r="G281">
        <v>1600000</v>
      </c>
      <c r="H281" t="s">
        <v>945</v>
      </c>
      <c r="I281" t="s">
        <v>963</v>
      </c>
    </row>
    <row r="282" spans="1:9" x14ac:dyDescent="0.25">
      <c r="A282" t="s">
        <v>1497</v>
      </c>
      <c r="B282" t="s">
        <v>844</v>
      </c>
      <c r="C282" t="s">
        <v>1498</v>
      </c>
      <c r="D282">
        <v>3900000</v>
      </c>
      <c r="E282">
        <v>100000</v>
      </c>
      <c r="F282">
        <v>4000000</v>
      </c>
      <c r="G282">
        <v>-4000000</v>
      </c>
      <c r="H282" t="s">
        <v>945</v>
      </c>
      <c r="I282" t="s">
        <v>953</v>
      </c>
    </row>
    <row r="283" spans="1:9" x14ac:dyDescent="0.25">
      <c r="A283" t="s">
        <v>1499</v>
      </c>
      <c r="B283" t="s">
        <v>663</v>
      </c>
      <c r="C283" t="s">
        <v>1500</v>
      </c>
      <c r="D283">
        <v>1100000</v>
      </c>
      <c r="E283">
        <v>0</v>
      </c>
      <c r="F283">
        <v>1100000</v>
      </c>
      <c r="G283">
        <v>0</v>
      </c>
      <c r="H283" t="s">
        <v>952</v>
      </c>
      <c r="I283" t="s">
        <v>960</v>
      </c>
    </row>
    <row r="284" spans="1:9" x14ac:dyDescent="0.25">
      <c r="A284" t="s">
        <v>1501</v>
      </c>
      <c r="B284" t="s">
        <v>879</v>
      </c>
      <c r="C284" t="s">
        <v>1502</v>
      </c>
      <c r="D284">
        <v>800000</v>
      </c>
      <c r="E284">
        <v>0</v>
      </c>
      <c r="F284">
        <v>800000</v>
      </c>
      <c r="G284">
        <v>800000</v>
      </c>
      <c r="H284" t="s">
        <v>945</v>
      </c>
      <c r="I284" t="s">
        <v>953</v>
      </c>
    </row>
    <row r="285" spans="1:9" x14ac:dyDescent="0.25">
      <c r="A285" t="s">
        <v>1503</v>
      </c>
      <c r="B285" t="s">
        <v>859</v>
      </c>
      <c r="C285" t="s">
        <v>1504</v>
      </c>
      <c r="D285">
        <v>7000000</v>
      </c>
      <c r="E285">
        <v>100000</v>
      </c>
      <c r="F285">
        <v>7100000</v>
      </c>
      <c r="G285">
        <v>4400000</v>
      </c>
      <c r="H285" t="s">
        <v>968</v>
      </c>
      <c r="I285" t="s">
        <v>960</v>
      </c>
    </row>
    <row r="286" spans="1:9" x14ac:dyDescent="0.25">
      <c r="A286" t="s">
        <v>1505</v>
      </c>
      <c r="B286" t="s">
        <v>840</v>
      </c>
      <c r="C286" t="s">
        <v>1506</v>
      </c>
      <c r="D286">
        <v>2900000</v>
      </c>
      <c r="E286">
        <v>100000</v>
      </c>
      <c r="F286">
        <v>3000000</v>
      </c>
      <c r="G286">
        <v>1700000</v>
      </c>
      <c r="H286" t="s">
        <v>968</v>
      </c>
      <c r="I286" t="s">
        <v>960</v>
      </c>
    </row>
    <row r="287" spans="1:9" x14ac:dyDescent="0.25">
      <c r="A287" t="s">
        <v>1507</v>
      </c>
      <c r="B287" t="s">
        <v>759</v>
      </c>
      <c r="C287" t="s">
        <v>1508</v>
      </c>
      <c r="D287">
        <v>1600000</v>
      </c>
      <c r="E287">
        <v>0</v>
      </c>
      <c r="F287">
        <v>1600000</v>
      </c>
      <c r="G287">
        <v>1600000</v>
      </c>
      <c r="H287" t="s">
        <v>945</v>
      </c>
      <c r="I287" t="s">
        <v>953</v>
      </c>
    </row>
    <row r="288" spans="1:9" x14ac:dyDescent="0.25">
      <c r="A288" t="s">
        <v>1509</v>
      </c>
      <c r="B288" t="s">
        <v>759</v>
      </c>
      <c r="C288" t="s">
        <v>1510</v>
      </c>
      <c r="D288">
        <v>3800000</v>
      </c>
      <c r="E288">
        <v>100000</v>
      </c>
      <c r="F288">
        <v>3900000</v>
      </c>
      <c r="G288">
        <v>0</v>
      </c>
      <c r="H288" t="s">
        <v>952</v>
      </c>
      <c r="I288" t="s">
        <v>953</v>
      </c>
    </row>
    <row r="289" spans="1:9" x14ac:dyDescent="0.25">
      <c r="A289" t="s">
        <v>1511</v>
      </c>
      <c r="B289" t="s">
        <v>850</v>
      </c>
      <c r="C289" t="s">
        <v>1512</v>
      </c>
      <c r="D289">
        <v>200000</v>
      </c>
      <c r="E289">
        <v>0</v>
      </c>
      <c r="F289">
        <v>200000</v>
      </c>
      <c r="G289">
        <v>0</v>
      </c>
      <c r="H289" t="s">
        <v>952</v>
      </c>
      <c r="I289" t="s">
        <v>949</v>
      </c>
    </row>
    <row r="290" spans="1:9" x14ac:dyDescent="0.25">
      <c r="A290" t="s">
        <v>1513</v>
      </c>
      <c r="B290" t="s">
        <v>884</v>
      </c>
      <c r="C290" t="s">
        <v>1221</v>
      </c>
      <c r="D290">
        <v>1900000</v>
      </c>
      <c r="E290">
        <v>0</v>
      </c>
      <c r="F290">
        <v>1900000</v>
      </c>
      <c r="G290">
        <v>1900000</v>
      </c>
      <c r="H290" t="s">
        <v>945</v>
      </c>
      <c r="I290" t="s">
        <v>957</v>
      </c>
    </row>
    <row r="291" spans="1:9" x14ac:dyDescent="0.25">
      <c r="A291" t="s">
        <v>1514</v>
      </c>
      <c r="B291" t="s">
        <v>705</v>
      </c>
      <c r="C291" t="s">
        <v>1515</v>
      </c>
      <c r="D291">
        <v>3000000</v>
      </c>
      <c r="E291">
        <v>100000</v>
      </c>
      <c r="F291">
        <v>3100000</v>
      </c>
      <c r="G291">
        <v>1100000</v>
      </c>
      <c r="H291" t="s">
        <v>968</v>
      </c>
      <c r="I291" t="s">
        <v>953</v>
      </c>
    </row>
    <row r="292" spans="1:9" x14ac:dyDescent="0.25">
      <c r="A292" t="s">
        <v>1516</v>
      </c>
      <c r="B292" t="s">
        <v>719</v>
      </c>
      <c r="C292" t="s">
        <v>1517</v>
      </c>
      <c r="D292">
        <v>2700000</v>
      </c>
      <c r="E292">
        <v>0</v>
      </c>
      <c r="F292">
        <v>2700000</v>
      </c>
      <c r="G292">
        <v>1100000</v>
      </c>
      <c r="H292" t="s">
        <v>968</v>
      </c>
      <c r="I292" t="s">
        <v>953</v>
      </c>
    </row>
    <row r="293" spans="1:9" x14ac:dyDescent="0.25">
      <c r="A293" t="s">
        <v>1518</v>
      </c>
      <c r="B293" t="s">
        <v>767</v>
      </c>
      <c r="C293" t="s">
        <v>1519</v>
      </c>
      <c r="D293">
        <v>800000</v>
      </c>
      <c r="E293">
        <v>0</v>
      </c>
      <c r="F293">
        <v>800000</v>
      </c>
      <c r="G293">
        <v>0</v>
      </c>
      <c r="H293" t="s">
        <v>952</v>
      </c>
      <c r="I293" t="s">
        <v>963</v>
      </c>
    </row>
    <row r="294" spans="1:9" x14ac:dyDescent="0.25">
      <c r="A294" t="s">
        <v>1520</v>
      </c>
      <c r="B294" t="s">
        <v>875</v>
      </c>
      <c r="C294" t="s">
        <v>1521</v>
      </c>
      <c r="D294">
        <v>4400000</v>
      </c>
      <c r="E294">
        <v>0</v>
      </c>
      <c r="F294">
        <v>4400000</v>
      </c>
      <c r="G294">
        <v>4400000</v>
      </c>
      <c r="H294" t="s">
        <v>945</v>
      </c>
      <c r="I294" t="s">
        <v>963</v>
      </c>
    </row>
    <row r="295" spans="1:9" x14ac:dyDescent="0.25">
      <c r="A295" t="s">
        <v>1522</v>
      </c>
      <c r="B295" t="s">
        <v>829</v>
      </c>
      <c r="C295" t="s">
        <v>1523</v>
      </c>
      <c r="D295">
        <v>1800000</v>
      </c>
      <c r="E295">
        <v>0</v>
      </c>
      <c r="F295">
        <v>1800000</v>
      </c>
      <c r="G295">
        <v>1800000</v>
      </c>
      <c r="H295" t="s">
        <v>945</v>
      </c>
      <c r="I295" t="s">
        <v>949</v>
      </c>
    </row>
    <row r="296" spans="1:9" x14ac:dyDescent="0.25">
      <c r="A296" t="s">
        <v>1524</v>
      </c>
      <c r="B296" t="s">
        <v>743</v>
      </c>
      <c r="C296" t="s">
        <v>1525</v>
      </c>
      <c r="D296">
        <v>200000</v>
      </c>
      <c r="E296">
        <v>0</v>
      </c>
      <c r="F296">
        <v>200000</v>
      </c>
      <c r="G296">
        <v>200000</v>
      </c>
      <c r="H296" t="s">
        <v>945</v>
      </c>
      <c r="I296" t="s">
        <v>960</v>
      </c>
    </row>
    <row r="297" spans="1:9" x14ac:dyDescent="0.25">
      <c r="A297" t="s">
        <v>1526</v>
      </c>
      <c r="B297" t="s">
        <v>794</v>
      </c>
      <c r="C297" t="s">
        <v>1527</v>
      </c>
      <c r="D297">
        <v>3300000</v>
      </c>
      <c r="E297">
        <v>0</v>
      </c>
      <c r="F297">
        <v>3300000</v>
      </c>
      <c r="G297">
        <v>3300000</v>
      </c>
      <c r="H297" t="s">
        <v>945</v>
      </c>
      <c r="I297" t="s">
        <v>946</v>
      </c>
    </row>
    <row r="298" spans="1:9" x14ac:dyDescent="0.25">
      <c r="A298" t="s">
        <v>1528</v>
      </c>
      <c r="B298" t="s">
        <v>879</v>
      </c>
      <c r="C298" t="s">
        <v>1529</v>
      </c>
      <c r="D298">
        <v>3100000</v>
      </c>
      <c r="E298">
        <v>100000</v>
      </c>
      <c r="F298">
        <v>3200000</v>
      </c>
      <c r="G298">
        <v>3200000</v>
      </c>
      <c r="H298" t="s">
        <v>945</v>
      </c>
      <c r="I298" t="s">
        <v>960</v>
      </c>
    </row>
    <row r="299" spans="1:9" x14ac:dyDescent="0.25">
      <c r="A299" t="s">
        <v>1530</v>
      </c>
      <c r="B299" t="s">
        <v>762</v>
      </c>
      <c r="C299" t="s">
        <v>1531</v>
      </c>
      <c r="D299">
        <v>1300000</v>
      </c>
      <c r="E299">
        <v>0</v>
      </c>
      <c r="F299">
        <v>1300000</v>
      </c>
      <c r="G299">
        <v>1300000</v>
      </c>
      <c r="H299" t="s">
        <v>945</v>
      </c>
      <c r="I299" t="s">
        <v>960</v>
      </c>
    </row>
    <row r="300" spans="1:9" x14ac:dyDescent="0.25">
      <c r="A300" t="s">
        <v>1532</v>
      </c>
      <c r="B300" t="s">
        <v>762</v>
      </c>
      <c r="C300" t="s">
        <v>1533</v>
      </c>
      <c r="D300">
        <v>4900000</v>
      </c>
      <c r="E300">
        <v>100000</v>
      </c>
      <c r="F300">
        <v>5000000</v>
      </c>
      <c r="G300">
        <v>5000000</v>
      </c>
      <c r="H300" t="s">
        <v>945</v>
      </c>
      <c r="I300" t="s">
        <v>946</v>
      </c>
    </row>
    <row r="301" spans="1:9" x14ac:dyDescent="0.25">
      <c r="A301" t="s">
        <v>1534</v>
      </c>
      <c r="B301" t="s">
        <v>823</v>
      </c>
      <c r="C301" t="s">
        <v>1535</v>
      </c>
      <c r="D301">
        <v>2000000</v>
      </c>
      <c r="E301">
        <v>0</v>
      </c>
      <c r="F301">
        <v>2000000</v>
      </c>
      <c r="G301">
        <v>2000000</v>
      </c>
      <c r="H301" t="s">
        <v>945</v>
      </c>
      <c r="I301" t="s">
        <v>949</v>
      </c>
    </row>
    <row r="302" spans="1:9" x14ac:dyDescent="0.25">
      <c r="A302" t="s">
        <v>1536</v>
      </c>
      <c r="B302" t="s">
        <v>869</v>
      </c>
      <c r="C302" t="s">
        <v>1537</v>
      </c>
      <c r="D302">
        <v>6200000</v>
      </c>
      <c r="E302">
        <v>100000</v>
      </c>
      <c r="F302">
        <v>6300000</v>
      </c>
      <c r="G302">
        <v>6300000</v>
      </c>
      <c r="H302" t="s">
        <v>945</v>
      </c>
      <c r="I302" t="s">
        <v>960</v>
      </c>
    </row>
    <row r="303" spans="1:9" x14ac:dyDescent="0.25">
      <c r="A303" t="s">
        <v>1538</v>
      </c>
      <c r="B303" t="s">
        <v>924</v>
      </c>
      <c r="C303" t="s">
        <v>1519</v>
      </c>
      <c r="D303">
        <v>1900000</v>
      </c>
      <c r="E303">
        <v>0</v>
      </c>
      <c r="F303">
        <v>1900000</v>
      </c>
      <c r="G303">
        <v>1300000</v>
      </c>
      <c r="H303" t="s">
        <v>968</v>
      </c>
      <c r="I303" t="s">
        <v>946</v>
      </c>
    </row>
    <row r="304" spans="1:9" x14ac:dyDescent="0.25">
      <c r="A304" t="s">
        <v>1539</v>
      </c>
      <c r="B304" t="s">
        <v>869</v>
      </c>
      <c r="C304" t="s">
        <v>1540</v>
      </c>
      <c r="D304">
        <v>1800000</v>
      </c>
      <c r="E304">
        <v>0</v>
      </c>
      <c r="F304">
        <v>1800000</v>
      </c>
      <c r="G304">
        <v>700000</v>
      </c>
      <c r="H304" t="s">
        <v>968</v>
      </c>
      <c r="I304" t="s">
        <v>953</v>
      </c>
    </row>
    <row r="305" spans="1:9" x14ac:dyDescent="0.25">
      <c r="A305" t="s">
        <v>1541</v>
      </c>
      <c r="B305" t="s">
        <v>743</v>
      </c>
      <c r="C305" t="s">
        <v>1542</v>
      </c>
      <c r="D305">
        <v>1700000</v>
      </c>
      <c r="E305">
        <v>0</v>
      </c>
      <c r="F305">
        <v>1700000</v>
      </c>
      <c r="G305">
        <v>1700000</v>
      </c>
      <c r="H305" t="s">
        <v>945</v>
      </c>
      <c r="I305" t="s">
        <v>963</v>
      </c>
    </row>
    <row r="306" spans="1:9" x14ac:dyDescent="0.25">
      <c r="A306" t="s">
        <v>1543</v>
      </c>
      <c r="B306" t="s">
        <v>791</v>
      </c>
      <c r="C306" t="s">
        <v>1544</v>
      </c>
      <c r="D306">
        <v>1900000</v>
      </c>
      <c r="E306">
        <v>0</v>
      </c>
      <c r="F306">
        <v>1900000</v>
      </c>
      <c r="G306">
        <v>1000000</v>
      </c>
      <c r="H306" t="s">
        <v>1545</v>
      </c>
      <c r="I306" t="s">
        <v>960</v>
      </c>
    </row>
    <row r="307" spans="1:9" x14ac:dyDescent="0.25">
      <c r="A307" t="s">
        <v>1546</v>
      </c>
      <c r="B307" t="s">
        <v>723</v>
      </c>
      <c r="C307" t="s">
        <v>1547</v>
      </c>
      <c r="D307">
        <v>200000</v>
      </c>
      <c r="E307">
        <v>0</v>
      </c>
      <c r="F307">
        <v>200000</v>
      </c>
      <c r="G307">
        <v>200000</v>
      </c>
      <c r="H307" t="s">
        <v>945</v>
      </c>
      <c r="I307" t="s">
        <v>973</v>
      </c>
    </row>
    <row r="308" spans="1:9" x14ac:dyDescent="0.25">
      <c r="A308" t="s">
        <v>1548</v>
      </c>
      <c r="B308" t="s">
        <v>780</v>
      </c>
      <c r="C308" t="s">
        <v>852</v>
      </c>
      <c r="D308">
        <v>2800000</v>
      </c>
      <c r="E308">
        <v>100000</v>
      </c>
      <c r="F308">
        <v>2900000</v>
      </c>
      <c r="G308">
        <v>2200000</v>
      </c>
      <c r="H308" t="s">
        <v>968</v>
      </c>
      <c r="I308" t="s">
        <v>960</v>
      </c>
    </row>
    <row r="309" spans="1:9" x14ac:dyDescent="0.25">
      <c r="A309" t="s">
        <v>1549</v>
      </c>
      <c r="B309" t="s">
        <v>885</v>
      </c>
      <c r="C309" t="s">
        <v>1550</v>
      </c>
      <c r="D309">
        <v>2400000</v>
      </c>
      <c r="E309">
        <v>0</v>
      </c>
      <c r="F309">
        <v>2400000</v>
      </c>
      <c r="G309">
        <v>800000</v>
      </c>
      <c r="H309" t="s">
        <v>968</v>
      </c>
      <c r="I309" t="s">
        <v>946</v>
      </c>
    </row>
    <row r="310" spans="1:9" x14ac:dyDescent="0.25">
      <c r="A310" t="s">
        <v>1551</v>
      </c>
      <c r="B310" t="s">
        <v>807</v>
      </c>
      <c r="C310" t="s">
        <v>1300</v>
      </c>
      <c r="D310">
        <v>3900000</v>
      </c>
      <c r="E310">
        <v>100000</v>
      </c>
      <c r="F310">
        <v>4000000</v>
      </c>
      <c r="G310">
        <v>1200000</v>
      </c>
      <c r="H310" t="s">
        <v>1545</v>
      </c>
      <c r="I310" t="s">
        <v>960</v>
      </c>
    </row>
    <row r="311" spans="1:9" x14ac:dyDescent="0.25">
      <c r="A311" t="s">
        <v>1552</v>
      </c>
      <c r="B311" t="s">
        <v>859</v>
      </c>
      <c r="C311" t="s">
        <v>1553</v>
      </c>
      <c r="D311">
        <v>2500000</v>
      </c>
      <c r="E311">
        <v>0</v>
      </c>
      <c r="F311">
        <v>2500000</v>
      </c>
      <c r="G311">
        <v>2500000</v>
      </c>
      <c r="H311" t="s">
        <v>945</v>
      </c>
      <c r="I311" t="s">
        <v>973</v>
      </c>
    </row>
    <row r="312" spans="1:9" x14ac:dyDescent="0.25">
      <c r="A312" t="s">
        <v>1554</v>
      </c>
      <c r="B312" t="s">
        <v>934</v>
      </c>
      <c r="C312" t="s">
        <v>1555</v>
      </c>
      <c r="D312">
        <v>1100000</v>
      </c>
      <c r="E312">
        <v>0</v>
      </c>
      <c r="F312">
        <v>1100000</v>
      </c>
      <c r="G312">
        <v>0</v>
      </c>
      <c r="H312" t="s">
        <v>952</v>
      </c>
      <c r="I312" t="s">
        <v>957</v>
      </c>
    </row>
    <row r="313" spans="1:9" x14ac:dyDescent="0.25">
      <c r="A313" t="s">
        <v>1556</v>
      </c>
      <c r="B313" t="s">
        <v>677</v>
      </c>
      <c r="C313" t="s">
        <v>1557</v>
      </c>
      <c r="D313">
        <v>700000</v>
      </c>
      <c r="E313">
        <v>0</v>
      </c>
      <c r="F313">
        <v>700000</v>
      </c>
      <c r="G313">
        <v>700000</v>
      </c>
      <c r="H313" t="s">
        <v>945</v>
      </c>
      <c r="I313" t="s">
        <v>973</v>
      </c>
    </row>
    <row r="314" spans="1:9" x14ac:dyDescent="0.25">
      <c r="A314" t="s">
        <v>1558</v>
      </c>
      <c r="B314" t="s">
        <v>762</v>
      </c>
      <c r="C314" t="s">
        <v>1559</v>
      </c>
      <c r="D314">
        <v>3000000</v>
      </c>
      <c r="E314">
        <v>100000</v>
      </c>
      <c r="F314">
        <v>3100000</v>
      </c>
      <c r="G314">
        <v>3100000</v>
      </c>
      <c r="H314" t="s">
        <v>945</v>
      </c>
      <c r="I314" t="s">
        <v>963</v>
      </c>
    </row>
    <row r="315" spans="1:9" x14ac:dyDescent="0.25">
      <c r="A315" t="s">
        <v>1560</v>
      </c>
      <c r="B315" t="s">
        <v>753</v>
      </c>
      <c r="C315" t="s">
        <v>1561</v>
      </c>
      <c r="D315">
        <v>2500000</v>
      </c>
      <c r="E315">
        <v>100000</v>
      </c>
      <c r="F315">
        <v>2600000</v>
      </c>
      <c r="G315">
        <v>2600000</v>
      </c>
      <c r="H315" t="s">
        <v>945</v>
      </c>
      <c r="I315" t="s">
        <v>960</v>
      </c>
    </row>
    <row r="316" spans="1:9" x14ac:dyDescent="0.25">
      <c r="A316" t="s">
        <v>1562</v>
      </c>
      <c r="B316" t="s">
        <v>906</v>
      </c>
      <c r="C316" t="s">
        <v>1563</v>
      </c>
      <c r="D316">
        <v>5900000</v>
      </c>
      <c r="E316">
        <v>100000</v>
      </c>
      <c r="F316">
        <v>6000000</v>
      </c>
      <c r="G316">
        <v>0</v>
      </c>
      <c r="H316" t="s">
        <v>952</v>
      </c>
      <c r="I316" t="s">
        <v>963</v>
      </c>
    </row>
    <row r="317" spans="1:9" x14ac:dyDescent="0.25">
      <c r="A317" t="s">
        <v>1564</v>
      </c>
      <c r="B317" t="s">
        <v>885</v>
      </c>
      <c r="C317" t="s">
        <v>1565</v>
      </c>
      <c r="D317">
        <v>600000</v>
      </c>
      <c r="E317">
        <v>0</v>
      </c>
      <c r="F317">
        <v>600000</v>
      </c>
      <c r="G317">
        <v>600000</v>
      </c>
      <c r="H317" t="s">
        <v>945</v>
      </c>
      <c r="I317" t="s">
        <v>946</v>
      </c>
    </row>
    <row r="318" spans="1:9" x14ac:dyDescent="0.25">
      <c r="A318" t="s">
        <v>1566</v>
      </c>
      <c r="B318" t="s">
        <v>834</v>
      </c>
      <c r="C318" t="s">
        <v>1567</v>
      </c>
      <c r="D318">
        <v>1400000</v>
      </c>
      <c r="E318">
        <v>0</v>
      </c>
      <c r="F318">
        <v>1400000</v>
      </c>
      <c r="G318">
        <v>1400000</v>
      </c>
      <c r="H318" t="s">
        <v>945</v>
      </c>
      <c r="I318" t="s">
        <v>960</v>
      </c>
    </row>
    <row r="319" spans="1:9" x14ac:dyDescent="0.25">
      <c r="A319" t="s">
        <v>1568</v>
      </c>
      <c r="B319" t="s">
        <v>933</v>
      </c>
      <c r="C319" t="s">
        <v>1569</v>
      </c>
      <c r="D319">
        <v>2100000</v>
      </c>
      <c r="E319">
        <v>0</v>
      </c>
      <c r="F319">
        <v>2100000</v>
      </c>
      <c r="G319">
        <v>1200000</v>
      </c>
      <c r="H319" t="s">
        <v>968</v>
      </c>
      <c r="I319" t="s">
        <v>957</v>
      </c>
    </row>
    <row r="320" spans="1:9" x14ac:dyDescent="0.25">
      <c r="A320" t="s">
        <v>1570</v>
      </c>
      <c r="B320" t="s">
        <v>776</v>
      </c>
      <c r="C320" t="s">
        <v>1571</v>
      </c>
      <c r="D320">
        <v>2800000</v>
      </c>
      <c r="E320">
        <v>100000</v>
      </c>
      <c r="F320">
        <v>2900000</v>
      </c>
      <c r="G320">
        <v>2900000</v>
      </c>
      <c r="H320" t="s">
        <v>945</v>
      </c>
      <c r="I320" t="s">
        <v>960</v>
      </c>
    </row>
    <row r="321" spans="1:9" x14ac:dyDescent="0.25">
      <c r="A321" t="s">
        <v>1572</v>
      </c>
      <c r="B321" t="s">
        <v>837</v>
      </c>
      <c r="C321" t="s">
        <v>1573</v>
      </c>
      <c r="D321">
        <v>3800000</v>
      </c>
      <c r="E321">
        <v>0</v>
      </c>
      <c r="F321">
        <v>3800000</v>
      </c>
      <c r="G321">
        <v>3800000</v>
      </c>
      <c r="H321" t="s">
        <v>945</v>
      </c>
      <c r="I321" t="s">
        <v>963</v>
      </c>
    </row>
    <row r="322" spans="1:9" x14ac:dyDescent="0.25">
      <c r="A322" t="s">
        <v>1574</v>
      </c>
      <c r="B322" t="s">
        <v>734</v>
      </c>
      <c r="C322" t="s">
        <v>1575</v>
      </c>
      <c r="D322">
        <v>2000000</v>
      </c>
      <c r="E322">
        <v>0</v>
      </c>
      <c r="F322">
        <v>2000000</v>
      </c>
      <c r="G322">
        <v>2000000</v>
      </c>
      <c r="H322" t="s">
        <v>945</v>
      </c>
      <c r="I322" t="s">
        <v>973</v>
      </c>
    </row>
    <row r="323" spans="1:9" x14ac:dyDescent="0.25">
      <c r="A323" t="s">
        <v>1576</v>
      </c>
      <c r="B323" t="s">
        <v>934</v>
      </c>
      <c r="C323" t="s">
        <v>1304</v>
      </c>
      <c r="D323">
        <v>2500000</v>
      </c>
      <c r="E323">
        <v>0</v>
      </c>
      <c r="F323">
        <v>2500000</v>
      </c>
      <c r="G323">
        <v>2500000</v>
      </c>
      <c r="H323" t="s">
        <v>945</v>
      </c>
      <c r="I323" t="s">
        <v>949</v>
      </c>
    </row>
    <row r="324" spans="1:9" x14ac:dyDescent="0.25">
      <c r="A324" t="s">
        <v>1577</v>
      </c>
      <c r="B324" t="s">
        <v>862</v>
      </c>
      <c r="C324" t="s">
        <v>1578</v>
      </c>
      <c r="D324">
        <v>800000</v>
      </c>
      <c r="E324">
        <v>0</v>
      </c>
      <c r="F324">
        <v>800000</v>
      </c>
      <c r="G324">
        <v>800000</v>
      </c>
      <c r="H324" t="s">
        <v>945</v>
      </c>
      <c r="I324" t="s">
        <v>973</v>
      </c>
    </row>
    <row r="325" spans="1:9" x14ac:dyDescent="0.25">
      <c r="A325" t="s">
        <v>1579</v>
      </c>
      <c r="B325" t="s">
        <v>834</v>
      </c>
      <c r="C325" t="s">
        <v>1580</v>
      </c>
      <c r="D325">
        <v>3100000</v>
      </c>
      <c r="E325">
        <v>0</v>
      </c>
      <c r="F325">
        <v>3100000</v>
      </c>
      <c r="G325">
        <v>1300000</v>
      </c>
      <c r="H325" t="s">
        <v>968</v>
      </c>
    </row>
    <row r="326" spans="1:9" x14ac:dyDescent="0.25">
      <c r="A326" t="s">
        <v>1581</v>
      </c>
      <c r="B326" t="s">
        <v>859</v>
      </c>
      <c r="C326" t="s">
        <v>1582</v>
      </c>
      <c r="D326">
        <v>1600000</v>
      </c>
      <c r="E326">
        <v>0</v>
      </c>
      <c r="F326">
        <v>1600000</v>
      </c>
      <c r="G326">
        <v>1600000</v>
      </c>
      <c r="H326" t="s">
        <v>945</v>
      </c>
      <c r="I326" t="s">
        <v>960</v>
      </c>
    </row>
    <row r="327" spans="1:9" x14ac:dyDescent="0.25">
      <c r="A327" t="s">
        <v>1583</v>
      </c>
      <c r="B327" t="s">
        <v>925</v>
      </c>
      <c r="C327" t="s">
        <v>1584</v>
      </c>
      <c r="D327">
        <v>2200000</v>
      </c>
      <c r="E327">
        <v>0</v>
      </c>
      <c r="F327">
        <v>2200000</v>
      </c>
      <c r="G327">
        <v>2200000</v>
      </c>
      <c r="H327" t="s">
        <v>945</v>
      </c>
      <c r="I327" t="s">
        <v>963</v>
      </c>
    </row>
    <row r="328" spans="1:9" x14ac:dyDescent="0.25">
      <c r="A328" t="s">
        <v>1585</v>
      </c>
      <c r="B328" t="s">
        <v>795</v>
      </c>
      <c r="C328" t="s">
        <v>1586</v>
      </c>
      <c r="D328">
        <v>3300000</v>
      </c>
      <c r="E328">
        <v>100000</v>
      </c>
      <c r="F328">
        <v>3400000</v>
      </c>
      <c r="G328">
        <v>3400000</v>
      </c>
      <c r="H328" t="s">
        <v>945</v>
      </c>
      <c r="I328" t="s">
        <v>973</v>
      </c>
    </row>
    <row r="329" spans="1:9" x14ac:dyDescent="0.25">
      <c r="A329" t="s">
        <v>1587</v>
      </c>
      <c r="B329" t="s">
        <v>847</v>
      </c>
      <c r="C329" t="s">
        <v>1588</v>
      </c>
      <c r="D329">
        <v>200000</v>
      </c>
      <c r="E329">
        <v>0</v>
      </c>
      <c r="F329">
        <v>200000</v>
      </c>
      <c r="G329">
        <v>200000</v>
      </c>
      <c r="H329" t="s">
        <v>945</v>
      </c>
      <c r="I329" t="s">
        <v>946</v>
      </c>
    </row>
    <row r="330" spans="1:9" x14ac:dyDescent="0.25">
      <c r="A330" t="s">
        <v>1589</v>
      </c>
      <c r="B330" t="s">
        <v>769</v>
      </c>
      <c r="C330" t="s">
        <v>1590</v>
      </c>
      <c r="D330">
        <v>5100000</v>
      </c>
      <c r="E330">
        <v>100000</v>
      </c>
      <c r="F330">
        <v>5200000</v>
      </c>
      <c r="G330">
        <v>5200000</v>
      </c>
      <c r="H330" t="s">
        <v>945</v>
      </c>
      <c r="I330" t="s">
        <v>960</v>
      </c>
    </row>
    <row r="331" spans="1:9" x14ac:dyDescent="0.25">
      <c r="A331" t="s">
        <v>1591</v>
      </c>
      <c r="B331" t="s">
        <v>796</v>
      </c>
      <c r="C331" t="s">
        <v>1592</v>
      </c>
      <c r="D331">
        <v>3300000</v>
      </c>
      <c r="E331">
        <v>100000</v>
      </c>
      <c r="F331">
        <v>3400000</v>
      </c>
      <c r="G331">
        <v>3400000</v>
      </c>
      <c r="H331" t="s">
        <v>945</v>
      </c>
      <c r="I331" t="s">
        <v>973</v>
      </c>
    </row>
    <row r="332" spans="1:9" x14ac:dyDescent="0.25">
      <c r="A332" t="s">
        <v>1593</v>
      </c>
      <c r="B332" t="s">
        <v>873</v>
      </c>
      <c r="C332" t="s">
        <v>1594</v>
      </c>
      <c r="D332">
        <v>3200000</v>
      </c>
      <c r="E332">
        <v>100000</v>
      </c>
      <c r="F332">
        <v>3300000</v>
      </c>
      <c r="G332">
        <v>2400000</v>
      </c>
      <c r="H332" t="s">
        <v>1545</v>
      </c>
      <c r="I332" t="s">
        <v>960</v>
      </c>
    </row>
    <row r="333" spans="1:9" x14ac:dyDescent="0.25">
      <c r="A333" t="s">
        <v>1595</v>
      </c>
      <c r="B333" t="s">
        <v>729</v>
      </c>
      <c r="C333" t="s">
        <v>1321</v>
      </c>
      <c r="D333">
        <v>800000</v>
      </c>
      <c r="E333">
        <v>0</v>
      </c>
      <c r="F333">
        <v>800000</v>
      </c>
      <c r="G333">
        <v>0</v>
      </c>
      <c r="H333" t="s">
        <v>952</v>
      </c>
      <c r="I333" t="s">
        <v>973</v>
      </c>
    </row>
    <row r="334" spans="1:9" x14ac:dyDescent="0.25">
      <c r="A334" t="s">
        <v>1596</v>
      </c>
      <c r="B334" t="s">
        <v>800</v>
      </c>
      <c r="C334" t="s">
        <v>1597</v>
      </c>
      <c r="D334">
        <v>100000</v>
      </c>
      <c r="E334">
        <v>0</v>
      </c>
      <c r="F334">
        <v>100000</v>
      </c>
      <c r="G334">
        <v>100000</v>
      </c>
      <c r="H334" t="s">
        <v>945</v>
      </c>
      <c r="I334" t="s">
        <v>957</v>
      </c>
    </row>
    <row r="335" spans="1:9" x14ac:dyDescent="0.25">
      <c r="A335" t="s">
        <v>1598</v>
      </c>
      <c r="B335" t="s">
        <v>823</v>
      </c>
      <c r="C335" t="s">
        <v>1599</v>
      </c>
      <c r="D335">
        <v>3700000</v>
      </c>
      <c r="E335">
        <v>100000</v>
      </c>
      <c r="F335">
        <v>3800000</v>
      </c>
      <c r="G335">
        <v>3800000</v>
      </c>
      <c r="H335" t="s">
        <v>945</v>
      </c>
      <c r="I335" t="s">
        <v>953</v>
      </c>
    </row>
    <row r="336" spans="1:9" x14ac:dyDescent="0.25">
      <c r="A336" t="s">
        <v>1600</v>
      </c>
      <c r="B336" t="s">
        <v>773</v>
      </c>
      <c r="C336" t="s">
        <v>1601</v>
      </c>
      <c r="D336">
        <v>1300000</v>
      </c>
      <c r="E336">
        <v>0</v>
      </c>
      <c r="F336">
        <v>1300000</v>
      </c>
      <c r="G336">
        <v>800000</v>
      </c>
      <c r="H336" t="s">
        <v>968</v>
      </c>
      <c r="I336" t="s">
        <v>949</v>
      </c>
    </row>
    <row r="337" spans="1:9" x14ac:dyDescent="0.25">
      <c r="A337" t="s">
        <v>1602</v>
      </c>
      <c r="B337" t="s">
        <v>791</v>
      </c>
      <c r="C337" t="s">
        <v>1603</v>
      </c>
      <c r="D337">
        <v>3900000</v>
      </c>
      <c r="E337">
        <v>100000</v>
      </c>
      <c r="F337">
        <v>4000000</v>
      </c>
      <c r="G337">
        <v>0</v>
      </c>
      <c r="H337" t="s">
        <v>952</v>
      </c>
      <c r="I337" t="s">
        <v>960</v>
      </c>
    </row>
    <row r="338" spans="1:9" x14ac:dyDescent="0.25">
      <c r="A338" t="s">
        <v>1604</v>
      </c>
      <c r="B338" t="s">
        <v>848</v>
      </c>
      <c r="C338" t="s">
        <v>1605</v>
      </c>
      <c r="D338">
        <v>5600000</v>
      </c>
      <c r="E338">
        <v>100000</v>
      </c>
      <c r="F338">
        <v>5700000</v>
      </c>
      <c r="G338">
        <v>5700000</v>
      </c>
      <c r="H338" t="s">
        <v>945</v>
      </c>
      <c r="I338" t="s">
        <v>957</v>
      </c>
    </row>
    <row r="339" spans="1:9" x14ac:dyDescent="0.25">
      <c r="A339" t="s">
        <v>1606</v>
      </c>
      <c r="B339" t="s">
        <v>791</v>
      </c>
      <c r="C339" t="s">
        <v>1607</v>
      </c>
      <c r="D339">
        <v>2600000</v>
      </c>
      <c r="E339">
        <v>0</v>
      </c>
      <c r="F339">
        <v>2600000</v>
      </c>
      <c r="G339">
        <v>2600000</v>
      </c>
      <c r="H339" t="s">
        <v>945</v>
      </c>
      <c r="I339" t="s">
        <v>957</v>
      </c>
    </row>
    <row r="340" spans="1:9" x14ac:dyDescent="0.25">
      <c r="A340" t="s">
        <v>1608</v>
      </c>
      <c r="B340" t="s">
        <v>788</v>
      </c>
      <c r="C340" t="s">
        <v>1609</v>
      </c>
      <c r="D340">
        <v>1600000</v>
      </c>
      <c r="E340">
        <v>0</v>
      </c>
      <c r="F340">
        <v>1600000</v>
      </c>
      <c r="G340">
        <v>700000</v>
      </c>
      <c r="H340" t="s">
        <v>968</v>
      </c>
      <c r="I340" t="s">
        <v>946</v>
      </c>
    </row>
    <row r="341" spans="1:9" x14ac:dyDescent="0.25">
      <c r="A341" t="s">
        <v>1610</v>
      </c>
      <c r="B341" t="s">
        <v>739</v>
      </c>
      <c r="C341" t="s">
        <v>1611</v>
      </c>
      <c r="D341">
        <v>2600000</v>
      </c>
      <c r="E341">
        <v>0</v>
      </c>
      <c r="F341">
        <v>2600000</v>
      </c>
      <c r="G341">
        <v>2600000</v>
      </c>
      <c r="H341" t="s">
        <v>945</v>
      </c>
      <c r="I341" t="s">
        <v>946</v>
      </c>
    </row>
    <row r="342" spans="1:9" x14ac:dyDescent="0.25">
      <c r="A342" t="s">
        <v>1612</v>
      </c>
      <c r="B342" t="s">
        <v>840</v>
      </c>
      <c r="C342" t="s">
        <v>1613</v>
      </c>
      <c r="D342">
        <v>1700000</v>
      </c>
      <c r="E342">
        <v>0</v>
      </c>
      <c r="F342">
        <v>1700000</v>
      </c>
      <c r="G342">
        <v>1700000</v>
      </c>
      <c r="H342" t="s">
        <v>945</v>
      </c>
      <c r="I342" t="s">
        <v>953</v>
      </c>
    </row>
    <row r="343" spans="1:9" x14ac:dyDescent="0.25">
      <c r="A343" t="s">
        <v>1614</v>
      </c>
      <c r="B343" t="s">
        <v>815</v>
      </c>
      <c r="C343" t="s">
        <v>1615</v>
      </c>
      <c r="D343">
        <v>100000</v>
      </c>
      <c r="E343">
        <v>0</v>
      </c>
      <c r="F343">
        <v>100000</v>
      </c>
      <c r="G343">
        <v>100000</v>
      </c>
      <c r="H343" t="s">
        <v>968</v>
      </c>
      <c r="I343" t="s">
        <v>953</v>
      </c>
    </row>
    <row r="344" spans="1:9" x14ac:dyDescent="0.25">
      <c r="A344" t="s">
        <v>1616</v>
      </c>
      <c r="B344" t="s">
        <v>864</v>
      </c>
      <c r="C344" t="s">
        <v>1617</v>
      </c>
      <c r="D344">
        <v>3100000</v>
      </c>
      <c r="E344">
        <v>100000</v>
      </c>
      <c r="F344">
        <v>3200000</v>
      </c>
      <c r="G344">
        <v>3200000</v>
      </c>
      <c r="H344" t="s">
        <v>945</v>
      </c>
      <c r="I344" t="s">
        <v>953</v>
      </c>
    </row>
    <row r="345" spans="1:9" x14ac:dyDescent="0.25">
      <c r="A345" t="s">
        <v>1618</v>
      </c>
      <c r="B345" t="s">
        <v>926</v>
      </c>
      <c r="C345" t="s">
        <v>1619</v>
      </c>
      <c r="D345">
        <v>5000000</v>
      </c>
      <c r="E345">
        <v>100000</v>
      </c>
      <c r="F345">
        <v>5100000</v>
      </c>
      <c r="G345">
        <v>2300000</v>
      </c>
      <c r="H345" t="s">
        <v>968</v>
      </c>
      <c r="I345" t="s">
        <v>973</v>
      </c>
    </row>
    <row r="346" spans="1:9" x14ac:dyDescent="0.25">
      <c r="A346" t="s">
        <v>1620</v>
      </c>
      <c r="B346" t="s">
        <v>848</v>
      </c>
      <c r="C346" t="s">
        <v>1621</v>
      </c>
      <c r="D346">
        <v>1000000</v>
      </c>
      <c r="E346">
        <v>0</v>
      </c>
      <c r="F346">
        <v>1000000</v>
      </c>
      <c r="G346">
        <v>600000</v>
      </c>
      <c r="H346" t="s">
        <v>968</v>
      </c>
      <c r="I346" t="s">
        <v>946</v>
      </c>
    </row>
    <row r="347" spans="1:9" x14ac:dyDescent="0.25">
      <c r="A347" t="s">
        <v>1622</v>
      </c>
      <c r="B347" t="s">
        <v>859</v>
      </c>
      <c r="C347" t="s">
        <v>1442</v>
      </c>
      <c r="D347">
        <v>1500000</v>
      </c>
      <c r="E347">
        <v>0</v>
      </c>
      <c r="F347">
        <v>1500000</v>
      </c>
      <c r="G347">
        <v>1500000</v>
      </c>
      <c r="H347" t="s">
        <v>945</v>
      </c>
      <c r="I347" t="s">
        <v>960</v>
      </c>
    </row>
    <row r="348" spans="1:9" x14ac:dyDescent="0.25">
      <c r="A348" t="s">
        <v>1623</v>
      </c>
      <c r="B348" t="s">
        <v>866</v>
      </c>
      <c r="C348" t="s">
        <v>1624</v>
      </c>
      <c r="D348">
        <v>2900000</v>
      </c>
      <c r="E348">
        <v>0</v>
      </c>
      <c r="F348">
        <v>2900000</v>
      </c>
      <c r="G348">
        <v>2900000</v>
      </c>
      <c r="H348" t="s">
        <v>945</v>
      </c>
      <c r="I348" t="s">
        <v>960</v>
      </c>
    </row>
    <row r="349" spans="1:9" x14ac:dyDescent="0.25">
      <c r="A349" t="s">
        <v>1625</v>
      </c>
      <c r="B349" t="s">
        <v>913</v>
      </c>
      <c r="C349" t="s">
        <v>1626</v>
      </c>
      <c r="D349">
        <v>1700000</v>
      </c>
      <c r="E349">
        <v>0</v>
      </c>
      <c r="F349">
        <v>1700000</v>
      </c>
      <c r="G349">
        <v>1700000</v>
      </c>
      <c r="H349" t="s">
        <v>945</v>
      </c>
      <c r="I349" t="s">
        <v>949</v>
      </c>
    </row>
    <row r="350" spans="1:9" x14ac:dyDescent="0.25">
      <c r="A350" t="s">
        <v>1627</v>
      </c>
      <c r="B350" t="s">
        <v>780</v>
      </c>
      <c r="C350" t="s">
        <v>1529</v>
      </c>
      <c r="D350">
        <v>4400000</v>
      </c>
      <c r="E350">
        <v>100000</v>
      </c>
      <c r="F350">
        <v>4500000</v>
      </c>
      <c r="G350">
        <v>-4500000</v>
      </c>
      <c r="H350" t="s">
        <v>945</v>
      </c>
      <c r="I350" t="s">
        <v>949</v>
      </c>
    </row>
    <row r="351" spans="1:9" x14ac:dyDescent="0.25">
      <c r="A351" t="s">
        <v>1628</v>
      </c>
      <c r="B351" t="s">
        <v>751</v>
      </c>
      <c r="C351" t="s">
        <v>1629</v>
      </c>
      <c r="D351">
        <v>3600000</v>
      </c>
      <c r="E351">
        <v>100000</v>
      </c>
      <c r="F351">
        <v>3700000</v>
      </c>
      <c r="G351">
        <v>-3700000</v>
      </c>
      <c r="H351" t="s">
        <v>945</v>
      </c>
      <c r="I351" t="s">
        <v>963</v>
      </c>
    </row>
    <row r="352" spans="1:9" x14ac:dyDescent="0.25">
      <c r="A352" t="s">
        <v>1630</v>
      </c>
      <c r="B352" t="s">
        <v>778</v>
      </c>
      <c r="C352" t="s">
        <v>1631</v>
      </c>
      <c r="D352">
        <v>100000</v>
      </c>
      <c r="E352">
        <v>0</v>
      </c>
      <c r="F352">
        <v>100000</v>
      </c>
      <c r="G352">
        <v>100000</v>
      </c>
      <c r="H352" t="s">
        <v>968</v>
      </c>
      <c r="I352" t="s">
        <v>946</v>
      </c>
    </row>
    <row r="353" spans="1:9" x14ac:dyDescent="0.25">
      <c r="A353" t="s">
        <v>1632</v>
      </c>
      <c r="B353" t="s">
        <v>798</v>
      </c>
      <c r="C353" t="s">
        <v>1633</v>
      </c>
      <c r="D353">
        <v>200000</v>
      </c>
      <c r="E353">
        <v>0</v>
      </c>
      <c r="F353">
        <v>200000</v>
      </c>
      <c r="G353">
        <v>0</v>
      </c>
      <c r="H353" t="s">
        <v>952</v>
      </c>
      <c r="I353" t="s">
        <v>953</v>
      </c>
    </row>
    <row r="354" spans="1:9" x14ac:dyDescent="0.25">
      <c r="A354" t="s">
        <v>1634</v>
      </c>
      <c r="B354" t="s">
        <v>825</v>
      </c>
      <c r="C354" t="s">
        <v>1635</v>
      </c>
      <c r="D354">
        <v>2300000</v>
      </c>
      <c r="E354">
        <v>0</v>
      </c>
      <c r="F354">
        <v>2300000</v>
      </c>
      <c r="G354">
        <v>2300000</v>
      </c>
      <c r="H354" t="s">
        <v>945</v>
      </c>
      <c r="I354" t="s">
        <v>953</v>
      </c>
    </row>
    <row r="355" spans="1:9" x14ac:dyDescent="0.25">
      <c r="A355" t="s">
        <v>1636</v>
      </c>
      <c r="B355" t="s">
        <v>726</v>
      </c>
      <c r="C355" t="s">
        <v>1637</v>
      </c>
      <c r="D355">
        <v>800000</v>
      </c>
      <c r="E355">
        <v>0</v>
      </c>
      <c r="F355">
        <v>800000</v>
      </c>
      <c r="G355">
        <v>0</v>
      </c>
      <c r="H355" t="s">
        <v>952</v>
      </c>
      <c r="I355" t="s">
        <v>946</v>
      </c>
    </row>
    <row r="356" spans="1:9" x14ac:dyDescent="0.25">
      <c r="A356" t="s">
        <v>1638</v>
      </c>
      <c r="B356" t="s">
        <v>728</v>
      </c>
      <c r="C356" t="s">
        <v>1639</v>
      </c>
      <c r="D356">
        <v>3400000</v>
      </c>
      <c r="E356">
        <v>100000</v>
      </c>
      <c r="F356">
        <v>3500000</v>
      </c>
      <c r="G356">
        <v>1600000</v>
      </c>
      <c r="H356" t="s">
        <v>968</v>
      </c>
      <c r="I356" t="s">
        <v>973</v>
      </c>
    </row>
    <row r="357" spans="1:9" x14ac:dyDescent="0.25">
      <c r="A357" t="s">
        <v>1640</v>
      </c>
      <c r="B357" t="s">
        <v>729</v>
      </c>
      <c r="C357" t="s">
        <v>1641</v>
      </c>
      <c r="D357">
        <v>400000</v>
      </c>
      <c r="E357">
        <v>0</v>
      </c>
      <c r="F357">
        <v>400000</v>
      </c>
      <c r="G357">
        <v>0</v>
      </c>
      <c r="H357" t="s">
        <v>952</v>
      </c>
      <c r="I357" t="s">
        <v>957</v>
      </c>
    </row>
    <row r="358" spans="1:9" x14ac:dyDescent="0.25">
      <c r="A358" t="s">
        <v>1642</v>
      </c>
      <c r="B358" t="s">
        <v>800</v>
      </c>
      <c r="C358" t="s">
        <v>1643</v>
      </c>
      <c r="D358">
        <v>200000</v>
      </c>
      <c r="E358">
        <v>0</v>
      </c>
      <c r="F358">
        <v>200000</v>
      </c>
      <c r="G358">
        <v>0</v>
      </c>
      <c r="H358" t="s">
        <v>952</v>
      </c>
      <c r="I358" t="s">
        <v>949</v>
      </c>
    </row>
    <row r="359" spans="1:9" x14ac:dyDescent="0.25">
      <c r="A359" t="s">
        <v>1644</v>
      </c>
      <c r="B359" t="s">
        <v>741</v>
      </c>
      <c r="C359" t="s">
        <v>1645</v>
      </c>
      <c r="D359">
        <v>700000</v>
      </c>
      <c r="E359">
        <v>0</v>
      </c>
      <c r="F359">
        <v>700000</v>
      </c>
      <c r="G359">
        <v>400000</v>
      </c>
      <c r="H359" t="s">
        <v>968</v>
      </c>
      <c r="I359" t="s">
        <v>963</v>
      </c>
    </row>
    <row r="360" spans="1:9" x14ac:dyDescent="0.25">
      <c r="A360" t="s">
        <v>1646</v>
      </c>
      <c r="B360" t="s">
        <v>842</v>
      </c>
      <c r="C360" t="s">
        <v>1647</v>
      </c>
      <c r="D360">
        <v>2800000</v>
      </c>
      <c r="E360">
        <v>100000</v>
      </c>
      <c r="F360">
        <v>2900000</v>
      </c>
      <c r="G360">
        <v>1200000</v>
      </c>
      <c r="H360" t="s">
        <v>1545</v>
      </c>
      <c r="I360" t="s">
        <v>953</v>
      </c>
    </row>
    <row r="361" spans="1:9" x14ac:dyDescent="0.25">
      <c r="A361" t="s">
        <v>1648</v>
      </c>
      <c r="B361" t="s">
        <v>669</v>
      </c>
      <c r="C361" t="s">
        <v>1649</v>
      </c>
      <c r="D361">
        <v>300000</v>
      </c>
      <c r="E361">
        <v>0</v>
      </c>
      <c r="F361">
        <v>300000</v>
      </c>
      <c r="G361">
        <v>300000</v>
      </c>
      <c r="H361" t="s">
        <v>945</v>
      </c>
      <c r="I361" t="s">
        <v>949</v>
      </c>
    </row>
    <row r="362" spans="1:9" x14ac:dyDescent="0.25">
      <c r="A362" t="s">
        <v>1650</v>
      </c>
      <c r="B362" t="s">
        <v>850</v>
      </c>
      <c r="C362" t="s">
        <v>846</v>
      </c>
      <c r="D362">
        <v>1500000</v>
      </c>
      <c r="E362">
        <v>0</v>
      </c>
      <c r="F362">
        <v>1500000</v>
      </c>
      <c r="G362">
        <v>0</v>
      </c>
      <c r="H362" t="s">
        <v>952</v>
      </c>
      <c r="I362" t="s">
        <v>960</v>
      </c>
    </row>
    <row r="363" spans="1:9" x14ac:dyDescent="0.25">
      <c r="A363" t="s">
        <v>1651</v>
      </c>
      <c r="B363" t="s">
        <v>689</v>
      </c>
      <c r="C363" t="s">
        <v>1652</v>
      </c>
      <c r="D363">
        <v>1900000</v>
      </c>
      <c r="E363">
        <v>0</v>
      </c>
      <c r="F363">
        <v>1900000</v>
      </c>
      <c r="G363">
        <v>0</v>
      </c>
      <c r="H363" t="s">
        <v>952</v>
      </c>
      <c r="I363" t="s">
        <v>957</v>
      </c>
    </row>
    <row r="364" spans="1:9" x14ac:dyDescent="0.25">
      <c r="A364" t="s">
        <v>1653</v>
      </c>
      <c r="B364" t="s">
        <v>773</v>
      </c>
      <c r="C364" t="s">
        <v>1654</v>
      </c>
      <c r="D364">
        <v>100000</v>
      </c>
      <c r="E364">
        <v>0</v>
      </c>
      <c r="F364">
        <v>100000</v>
      </c>
      <c r="G364">
        <v>0</v>
      </c>
      <c r="H364" t="s">
        <v>968</v>
      </c>
      <c r="I364" t="s">
        <v>960</v>
      </c>
    </row>
    <row r="365" spans="1:9" x14ac:dyDescent="0.25">
      <c r="A365" t="s">
        <v>1655</v>
      </c>
      <c r="B365" t="s">
        <v>851</v>
      </c>
      <c r="C365" t="s">
        <v>1656</v>
      </c>
      <c r="D365">
        <v>1900000</v>
      </c>
      <c r="E365">
        <v>0</v>
      </c>
      <c r="F365">
        <v>1900000</v>
      </c>
      <c r="G365">
        <v>1900000</v>
      </c>
      <c r="H365" t="s">
        <v>945</v>
      </c>
      <c r="I365" t="s">
        <v>953</v>
      </c>
    </row>
    <row r="366" spans="1:9" x14ac:dyDescent="0.25">
      <c r="A366" t="s">
        <v>1657</v>
      </c>
      <c r="B366" t="s">
        <v>742</v>
      </c>
      <c r="C366" t="s">
        <v>1658</v>
      </c>
      <c r="D366">
        <v>700000</v>
      </c>
      <c r="E366">
        <v>0</v>
      </c>
      <c r="F366">
        <v>700000</v>
      </c>
      <c r="G366">
        <v>700000</v>
      </c>
      <c r="H366" t="s">
        <v>945</v>
      </c>
      <c r="I366" t="s">
        <v>957</v>
      </c>
    </row>
    <row r="367" spans="1:9" x14ac:dyDescent="0.25">
      <c r="A367" t="s">
        <v>1659</v>
      </c>
      <c r="B367" t="s">
        <v>867</v>
      </c>
      <c r="C367" t="s">
        <v>1660</v>
      </c>
      <c r="D367">
        <v>800000</v>
      </c>
      <c r="E367">
        <v>0</v>
      </c>
      <c r="F367">
        <v>800000</v>
      </c>
      <c r="G367">
        <v>0</v>
      </c>
      <c r="H367" t="s">
        <v>952</v>
      </c>
      <c r="I367" t="s">
        <v>973</v>
      </c>
    </row>
    <row r="368" spans="1:9" x14ac:dyDescent="0.25">
      <c r="A368" t="s">
        <v>1661</v>
      </c>
      <c r="B368" t="s">
        <v>917</v>
      </c>
      <c r="C368" t="s">
        <v>1662</v>
      </c>
      <c r="D368">
        <v>1700000</v>
      </c>
      <c r="E368">
        <v>0</v>
      </c>
      <c r="F368">
        <v>1700000</v>
      </c>
      <c r="G368">
        <v>1700000</v>
      </c>
      <c r="H368" t="s">
        <v>945</v>
      </c>
      <c r="I368" t="s">
        <v>973</v>
      </c>
    </row>
    <row r="369" spans="1:9" x14ac:dyDescent="0.25">
      <c r="A369" t="s">
        <v>1663</v>
      </c>
      <c r="B369" t="s">
        <v>685</v>
      </c>
      <c r="C369" t="s">
        <v>1664</v>
      </c>
      <c r="D369">
        <v>5100000</v>
      </c>
      <c r="E369">
        <v>100000</v>
      </c>
      <c r="F369">
        <v>5200000</v>
      </c>
      <c r="G369">
        <v>5200000</v>
      </c>
      <c r="H369" t="s">
        <v>945</v>
      </c>
      <c r="I369" t="s">
        <v>963</v>
      </c>
    </row>
    <row r="370" spans="1:9" x14ac:dyDescent="0.25">
      <c r="A370" t="s">
        <v>1665</v>
      </c>
      <c r="B370" t="s">
        <v>794</v>
      </c>
      <c r="C370" t="s">
        <v>1199</v>
      </c>
      <c r="D370">
        <v>3600000</v>
      </c>
      <c r="E370">
        <v>100000</v>
      </c>
      <c r="F370">
        <v>3700000</v>
      </c>
      <c r="G370">
        <v>1500000</v>
      </c>
      <c r="H370" t="s">
        <v>968</v>
      </c>
      <c r="I370" t="s">
        <v>953</v>
      </c>
    </row>
    <row r="371" spans="1:9" x14ac:dyDescent="0.25">
      <c r="A371" t="s">
        <v>1666</v>
      </c>
      <c r="B371" t="s">
        <v>812</v>
      </c>
      <c r="C371" t="s">
        <v>1667</v>
      </c>
      <c r="D371">
        <v>4400000</v>
      </c>
      <c r="E371">
        <v>100000</v>
      </c>
      <c r="F371">
        <v>4500000</v>
      </c>
      <c r="G371">
        <v>2000000</v>
      </c>
      <c r="H371" t="s">
        <v>968</v>
      </c>
      <c r="I371" t="s">
        <v>949</v>
      </c>
    </row>
    <row r="372" spans="1:9" x14ac:dyDescent="0.25">
      <c r="A372" t="s">
        <v>1668</v>
      </c>
      <c r="B372" t="s">
        <v>685</v>
      </c>
      <c r="C372" t="s">
        <v>1669</v>
      </c>
      <c r="D372">
        <v>1300000</v>
      </c>
      <c r="E372">
        <v>0</v>
      </c>
      <c r="F372">
        <v>1300000</v>
      </c>
      <c r="G372">
        <v>0</v>
      </c>
      <c r="H372" t="s">
        <v>952</v>
      </c>
      <c r="I372" t="s">
        <v>973</v>
      </c>
    </row>
    <row r="373" spans="1:9" x14ac:dyDescent="0.25">
      <c r="A373" t="s">
        <v>1670</v>
      </c>
      <c r="B373" t="s">
        <v>726</v>
      </c>
      <c r="C373" t="s">
        <v>1007</v>
      </c>
      <c r="D373">
        <v>5000000</v>
      </c>
      <c r="E373">
        <v>100000</v>
      </c>
      <c r="F373">
        <v>5100000</v>
      </c>
      <c r="G373">
        <v>0</v>
      </c>
      <c r="H373" t="s">
        <v>952</v>
      </c>
      <c r="I373" t="s">
        <v>949</v>
      </c>
    </row>
    <row r="374" spans="1:9" x14ac:dyDescent="0.25">
      <c r="A374" t="s">
        <v>1671</v>
      </c>
      <c r="B374" t="s">
        <v>798</v>
      </c>
      <c r="C374" t="s">
        <v>1672</v>
      </c>
      <c r="D374">
        <v>2500000</v>
      </c>
      <c r="E374">
        <v>100000</v>
      </c>
      <c r="F374">
        <v>2600000</v>
      </c>
      <c r="G374">
        <v>2600000</v>
      </c>
      <c r="H374" t="s">
        <v>945</v>
      </c>
      <c r="I374" t="s">
        <v>973</v>
      </c>
    </row>
    <row r="375" spans="1:9" x14ac:dyDescent="0.25">
      <c r="A375" t="s">
        <v>1673</v>
      </c>
      <c r="B375" t="s">
        <v>825</v>
      </c>
      <c r="C375" t="s">
        <v>1674</v>
      </c>
      <c r="D375">
        <v>5900000</v>
      </c>
      <c r="E375">
        <v>100000</v>
      </c>
      <c r="F375">
        <v>6000000</v>
      </c>
      <c r="G375">
        <v>6000000</v>
      </c>
      <c r="H375" t="s">
        <v>945</v>
      </c>
      <c r="I375" t="s">
        <v>960</v>
      </c>
    </row>
    <row r="376" spans="1:9" x14ac:dyDescent="0.25">
      <c r="A376" t="s">
        <v>1675</v>
      </c>
      <c r="B376" t="s">
        <v>753</v>
      </c>
      <c r="C376" t="s">
        <v>1676</v>
      </c>
      <c r="D376">
        <v>3100000</v>
      </c>
      <c r="E376">
        <v>100000</v>
      </c>
      <c r="F376">
        <v>3200000</v>
      </c>
      <c r="G376">
        <v>3200000</v>
      </c>
      <c r="H376" t="s">
        <v>945</v>
      </c>
      <c r="I376" t="s">
        <v>953</v>
      </c>
    </row>
    <row r="377" spans="1:9" x14ac:dyDescent="0.25">
      <c r="A377" t="s">
        <v>1677</v>
      </c>
      <c r="B377" t="s">
        <v>721</v>
      </c>
      <c r="C377" t="s">
        <v>1678</v>
      </c>
      <c r="D377">
        <v>900000</v>
      </c>
      <c r="E377">
        <v>0</v>
      </c>
      <c r="F377">
        <v>900000</v>
      </c>
      <c r="G377">
        <v>400000</v>
      </c>
      <c r="H377" t="s">
        <v>968</v>
      </c>
    </row>
    <row r="378" spans="1:9" x14ac:dyDescent="0.25">
      <c r="A378" t="s">
        <v>1679</v>
      </c>
      <c r="B378" t="s">
        <v>888</v>
      </c>
      <c r="C378" t="s">
        <v>1680</v>
      </c>
      <c r="D378">
        <v>1600000</v>
      </c>
      <c r="E378">
        <v>0</v>
      </c>
      <c r="F378">
        <v>1600000</v>
      </c>
      <c r="G378">
        <v>1600000</v>
      </c>
      <c r="H378" t="s">
        <v>945</v>
      </c>
      <c r="I378" t="s">
        <v>963</v>
      </c>
    </row>
    <row r="379" spans="1:9" x14ac:dyDescent="0.25">
      <c r="A379" t="s">
        <v>1681</v>
      </c>
      <c r="B379" t="s">
        <v>731</v>
      </c>
      <c r="C379" t="s">
        <v>1682</v>
      </c>
      <c r="D379">
        <v>200000</v>
      </c>
      <c r="E379">
        <v>0</v>
      </c>
      <c r="F379">
        <v>200000</v>
      </c>
      <c r="G379">
        <v>200000</v>
      </c>
      <c r="H379" t="s">
        <v>945</v>
      </c>
    </row>
    <row r="380" spans="1:9" x14ac:dyDescent="0.25">
      <c r="A380" t="s">
        <v>1683</v>
      </c>
      <c r="B380" t="s">
        <v>729</v>
      </c>
      <c r="C380" t="s">
        <v>733</v>
      </c>
      <c r="D380">
        <v>2400000</v>
      </c>
      <c r="E380">
        <v>0</v>
      </c>
      <c r="F380">
        <v>2400000</v>
      </c>
      <c r="G380">
        <v>2400000</v>
      </c>
      <c r="H380" t="s">
        <v>945</v>
      </c>
      <c r="I380" t="s">
        <v>946</v>
      </c>
    </row>
    <row r="381" spans="1:9" x14ac:dyDescent="0.25">
      <c r="A381" t="s">
        <v>1684</v>
      </c>
      <c r="B381" t="s">
        <v>903</v>
      </c>
      <c r="C381" t="s">
        <v>1685</v>
      </c>
      <c r="D381">
        <v>600000</v>
      </c>
      <c r="E381">
        <v>0</v>
      </c>
      <c r="F381">
        <v>600000</v>
      </c>
      <c r="G381">
        <v>600000</v>
      </c>
      <c r="H381" t="s">
        <v>945</v>
      </c>
      <c r="I381" t="s">
        <v>963</v>
      </c>
    </row>
    <row r="382" spans="1:9" x14ac:dyDescent="0.25">
      <c r="A382" t="s">
        <v>1686</v>
      </c>
      <c r="B382" t="s">
        <v>847</v>
      </c>
      <c r="C382" t="s">
        <v>1687</v>
      </c>
      <c r="D382">
        <v>200000</v>
      </c>
      <c r="E382">
        <v>0</v>
      </c>
      <c r="F382">
        <v>200000</v>
      </c>
      <c r="G382">
        <v>0</v>
      </c>
      <c r="H382" t="s">
        <v>952</v>
      </c>
      <c r="I382" t="s">
        <v>946</v>
      </c>
    </row>
    <row r="383" spans="1:9" x14ac:dyDescent="0.25">
      <c r="A383" t="s">
        <v>1688</v>
      </c>
      <c r="B383" t="s">
        <v>672</v>
      </c>
      <c r="C383" t="s">
        <v>1689</v>
      </c>
      <c r="D383">
        <v>1000000</v>
      </c>
      <c r="E383">
        <v>0</v>
      </c>
      <c r="F383">
        <v>1000000</v>
      </c>
      <c r="G383">
        <v>0</v>
      </c>
      <c r="H383" t="s">
        <v>952</v>
      </c>
      <c r="I383" t="s">
        <v>953</v>
      </c>
    </row>
    <row r="384" spans="1:9" x14ac:dyDescent="0.25">
      <c r="A384" t="s">
        <v>1690</v>
      </c>
      <c r="B384" t="s">
        <v>738</v>
      </c>
      <c r="C384" t="s">
        <v>1641</v>
      </c>
      <c r="D384">
        <v>1400000</v>
      </c>
      <c r="E384">
        <v>0</v>
      </c>
      <c r="F384">
        <v>1400000</v>
      </c>
      <c r="G384">
        <v>1400000</v>
      </c>
      <c r="H384" t="s">
        <v>945</v>
      </c>
      <c r="I384" t="s">
        <v>949</v>
      </c>
    </row>
    <row r="385" spans="1:9" x14ac:dyDescent="0.25">
      <c r="A385" t="s">
        <v>1691</v>
      </c>
      <c r="B385" t="s">
        <v>840</v>
      </c>
      <c r="C385" t="s">
        <v>1692</v>
      </c>
      <c r="D385">
        <v>2500000</v>
      </c>
      <c r="E385">
        <v>0</v>
      </c>
      <c r="F385">
        <v>2500000</v>
      </c>
      <c r="G385">
        <v>1600000</v>
      </c>
      <c r="H385" t="s">
        <v>968</v>
      </c>
      <c r="I385" t="s">
        <v>953</v>
      </c>
    </row>
    <row r="386" spans="1:9" x14ac:dyDescent="0.25">
      <c r="A386" t="s">
        <v>1693</v>
      </c>
      <c r="B386" t="s">
        <v>920</v>
      </c>
      <c r="C386" t="s">
        <v>1694</v>
      </c>
      <c r="D386">
        <v>2200000</v>
      </c>
      <c r="E386">
        <v>0</v>
      </c>
      <c r="F386">
        <v>2200000</v>
      </c>
      <c r="G386">
        <v>2200000</v>
      </c>
      <c r="H386" t="s">
        <v>945</v>
      </c>
      <c r="I386" t="s">
        <v>973</v>
      </c>
    </row>
    <row r="387" spans="1:9" x14ac:dyDescent="0.25">
      <c r="A387" t="s">
        <v>1695</v>
      </c>
      <c r="B387" t="s">
        <v>776</v>
      </c>
      <c r="C387" t="s">
        <v>1696</v>
      </c>
      <c r="D387">
        <v>4400000</v>
      </c>
      <c r="E387">
        <v>100000</v>
      </c>
      <c r="F387">
        <v>4500000</v>
      </c>
      <c r="G387">
        <v>4500000</v>
      </c>
      <c r="H387" t="s">
        <v>945</v>
      </c>
      <c r="I387" t="s">
        <v>973</v>
      </c>
    </row>
    <row r="388" spans="1:9" x14ac:dyDescent="0.25">
      <c r="A388" t="s">
        <v>1697</v>
      </c>
      <c r="B388" t="s">
        <v>721</v>
      </c>
      <c r="C388" t="s">
        <v>1698</v>
      </c>
      <c r="D388">
        <v>2000000</v>
      </c>
      <c r="E388">
        <v>0</v>
      </c>
      <c r="F388">
        <v>2000000</v>
      </c>
      <c r="G388">
        <v>0</v>
      </c>
      <c r="H388" t="s">
        <v>952</v>
      </c>
      <c r="I388" t="s">
        <v>949</v>
      </c>
    </row>
    <row r="389" spans="1:9" x14ac:dyDescent="0.25">
      <c r="A389" t="s">
        <v>1699</v>
      </c>
      <c r="B389" t="s">
        <v>731</v>
      </c>
      <c r="C389" t="s">
        <v>1700</v>
      </c>
      <c r="D389">
        <v>2500000</v>
      </c>
      <c r="E389">
        <v>0</v>
      </c>
      <c r="F389">
        <v>2500000</v>
      </c>
      <c r="G389">
        <v>2500000</v>
      </c>
      <c r="H389" t="s">
        <v>945</v>
      </c>
      <c r="I389" t="s">
        <v>963</v>
      </c>
    </row>
    <row r="390" spans="1:9" x14ac:dyDescent="0.25">
      <c r="A390" t="s">
        <v>1701</v>
      </c>
      <c r="B390" t="s">
        <v>719</v>
      </c>
      <c r="C390" t="s">
        <v>1702</v>
      </c>
      <c r="D390">
        <v>4400000</v>
      </c>
      <c r="E390">
        <v>100000</v>
      </c>
      <c r="F390">
        <v>4500000</v>
      </c>
      <c r="G390">
        <v>-2900000</v>
      </c>
      <c r="H390" t="s">
        <v>1545</v>
      </c>
      <c r="I390" t="s">
        <v>953</v>
      </c>
    </row>
    <row r="391" spans="1:9" x14ac:dyDescent="0.25">
      <c r="A391" t="s">
        <v>1703</v>
      </c>
      <c r="B391" t="s">
        <v>929</v>
      </c>
      <c r="C391" t="s">
        <v>1704</v>
      </c>
      <c r="D391">
        <v>700000</v>
      </c>
      <c r="E391">
        <v>0</v>
      </c>
      <c r="F391">
        <v>700000</v>
      </c>
      <c r="G391">
        <v>0</v>
      </c>
      <c r="H391" t="s">
        <v>952</v>
      </c>
      <c r="I391" t="s">
        <v>973</v>
      </c>
    </row>
    <row r="392" spans="1:9" x14ac:dyDescent="0.25">
      <c r="A392" t="s">
        <v>1705</v>
      </c>
      <c r="B392" t="s">
        <v>762</v>
      </c>
      <c r="C392" t="s">
        <v>1706</v>
      </c>
      <c r="D392">
        <v>600000</v>
      </c>
      <c r="E392">
        <v>0</v>
      </c>
      <c r="F392">
        <v>600000</v>
      </c>
      <c r="G392">
        <v>600000</v>
      </c>
      <c r="H392" t="s">
        <v>945</v>
      </c>
    </row>
    <row r="393" spans="1:9" x14ac:dyDescent="0.25">
      <c r="A393" t="s">
        <v>1707</v>
      </c>
      <c r="B393" t="s">
        <v>689</v>
      </c>
      <c r="C393" t="s">
        <v>1708</v>
      </c>
      <c r="D393">
        <v>2400000</v>
      </c>
      <c r="E393">
        <v>0</v>
      </c>
      <c r="F393">
        <v>2400000</v>
      </c>
      <c r="G393">
        <v>2400000</v>
      </c>
      <c r="H393" t="s">
        <v>1129</v>
      </c>
      <c r="I393" t="s">
        <v>973</v>
      </c>
    </row>
    <row r="394" spans="1:9" x14ac:dyDescent="0.25">
      <c r="A394" t="s">
        <v>1709</v>
      </c>
      <c r="B394" t="s">
        <v>663</v>
      </c>
      <c r="C394" t="s">
        <v>1710</v>
      </c>
      <c r="D394">
        <v>3900000</v>
      </c>
      <c r="E394">
        <v>0</v>
      </c>
      <c r="F394">
        <v>3900000</v>
      </c>
      <c r="G394">
        <v>2100000</v>
      </c>
      <c r="H394" t="s">
        <v>968</v>
      </c>
      <c r="I394" t="s">
        <v>953</v>
      </c>
    </row>
    <row r="395" spans="1:9" x14ac:dyDescent="0.25">
      <c r="A395" t="s">
        <v>1711</v>
      </c>
      <c r="B395" t="s">
        <v>806</v>
      </c>
      <c r="C395" t="s">
        <v>927</v>
      </c>
      <c r="D395">
        <v>200000</v>
      </c>
      <c r="E395">
        <v>0</v>
      </c>
      <c r="F395">
        <v>200000</v>
      </c>
      <c r="G395">
        <v>100000</v>
      </c>
      <c r="H395" t="s">
        <v>968</v>
      </c>
      <c r="I395" t="s">
        <v>960</v>
      </c>
    </row>
    <row r="396" spans="1:9" x14ac:dyDescent="0.25">
      <c r="A396" t="s">
        <v>1712</v>
      </c>
      <c r="B396" t="s">
        <v>893</v>
      </c>
      <c r="C396" t="s">
        <v>1569</v>
      </c>
      <c r="D396">
        <v>3700000</v>
      </c>
      <c r="E396">
        <v>100000</v>
      </c>
      <c r="F396">
        <v>3800000</v>
      </c>
      <c r="G396">
        <v>0</v>
      </c>
      <c r="H396" t="s">
        <v>952</v>
      </c>
      <c r="I396" t="s">
        <v>957</v>
      </c>
    </row>
    <row r="397" spans="1:9" x14ac:dyDescent="0.25">
      <c r="A397" t="s">
        <v>1713</v>
      </c>
      <c r="B397" t="s">
        <v>932</v>
      </c>
      <c r="C397" t="s">
        <v>1714</v>
      </c>
      <c r="D397">
        <v>1000000</v>
      </c>
      <c r="E397">
        <v>0</v>
      </c>
      <c r="F397">
        <v>1000000</v>
      </c>
      <c r="G397">
        <v>1000000</v>
      </c>
      <c r="H397" t="s">
        <v>945</v>
      </c>
      <c r="I397" t="s">
        <v>957</v>
      </c>
    </row>
    <row r="398" spans="1:9" x14ac:dyDescent="0.25">
      <c r="A398" t="s">
        <v>1715</v>
      </c>
      <c r="B398" t="s">
        <v>888</v>
      </c>
      <c r="C398" t="s">
        <v>1716</v>
      </c>
      <c r="D398">
        <v>2100000</v>
      </c>
      <c r="E398">
        <v>0</v>
      </c>
      <c r="F398">
        <v>2100000</v>
      </c>
      <c r="G398">
        <v>2100000</v>
      </c>
      <c r="H398" t="s">
        <v>945</v>
      </c>
      <c r="I398" t="s">
        <v>973</v>
      </c>
    </row>
    <row r="399" spans="1:9" x14ac:dyDescent="0.25">
      <c r="A399" t="s">
        <v>1717</v>
      </c>
      <c r="B399" t="s">
        <v>767</v>
      </c>
      <c r="C399" t="s">
        <v>1718</v>
      </c>
      <c r="D399">
        <v>1500000</v>
      </c>
      <c r="E399">
        <v>0</v>
      </c>
      <c r="F399">
        <v>1500000</v>
      </c>
      <c r="G399">
        <v>0</v>
      </c>
      <c r="H399" t="s">
        <v>952</v>
      </c>
      <c r="I399" t="s">
        <v>946</v>
      </c>
    </row>
    <row r="400" spans="1:9" x14ac:dyDescent="0.25">
      <c r="A400" t="s">
        <v>1719</v>
      </c>
      <c r="B400" t="s">
        <v>873</v>
      </c>
      <c r="C400" t="s">
        <v>1535</v>
      </c>
      <c r="D400">
        <v>3100000</v>
      </c>
      <c r="E400">
        <v>0</v>
      </c>
      <c r="F400">
        <v>3100000</v>
      </c>
      <c r="G400">
        <v>3100000</v>
      </c>
      <c r="H400" t="s">
        <v>945</v>
      </c>
      <c r="I400" t="s">
        <v>953</v>
      </c>
    </row>
    <row r="401" spans="1:9" x14ac:dyDescent="0.25">
      <c r="A401" t="s">
        <v>1720</v>
      </c>
      <c r="B401" t="s">
        <v>685</v>
      </c>
      <c r="C401" t="s">
        <v>1721</v>
      </c>
      <c r="D401">
        <v>1800000</v>
      </c>
      <c r="E401">
        <v>0</v>
      </c>
      <c r="F401">
        <v>1800000</v>
      </c>
      <c r="G401">
        <v>0</v>
      </c>
      <c r="H401" t="s">
        <v>952</v>
      </c>
      <c r="I401" t="s">
        <v>973</v>
      </c>
    </row>
  </sheetData>
  <autoFilter ref="A1:I401" xr:uid="{00000000-0009-0000-0000-000004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6A4C93"/>
  </sheetPr>
  <dimension ref="A1:E28"/>
  <sheetViews>
    <sheetView tabSelected="1" workbookViewId="0">
      <selection activeCell="C12" sqref="C12"/>
    </sheetView>
  </sheetViews>
  <sheetFormatPr defaultRowHeight="15" x14ac:dyDescent="0.25"/>
  <cols>
    <col min="1" max="1" width="102.5703125" bestFit="1" customWidth="1"/>
    <col min="2" max="2" width="28" customWidth="1"/>
    <col min="3" max="3" width="18" customWidth="1"/>
    <col min="4" max="4" width="26" customWidth="1"/>
  </cols>
  <sheetData>
    <row r="1" spans="1:5" ht="18" x14ac:dyDescent="0.25">
      <c r="A1" s="7" t="s">
        <v>1722</v>
      </c>
    </row>
    <row r="3" spans="1:5" x14ac:dyDescent="0.25">
      <c r="A3" s="8" t="s">
        <v>1723</v>
      </c>
    </row>
    <row r="4" spans="1:5" x14ac:dyDescent="0.25">
      <c r="A4" s="9" t="s">
        <v>1724</v>
      </c>
    </row>
    <row r="5" spans="1:5" x14ac:dyDescent="0.25">
      <c r="A5" s="9" t="s">
        <v>1725</v>
      </c>
      <c r="C5" s="10" t="s">
        <v>657</v>
      </c>
    </row>
    <row r="6" spans="1:5" x14ac:dyDescent="0.25">
      <c r="A6" s="9" t="s">
        <v>1726</v>
      </c>
      <c r="B6" t="str">
        <f>IFERROR(_xlfn.XLOOKUP(C5,Loan_Applications!$A:$A,Loan_Applications!$B:$B),"Not Found")</f>
        <v>CUS93886</v>
      </c>
      <c r="E6" t="str">
        <f>IFERROR(INDEX(Loan_Applications!$B:$B,MATCH($C$5,Loan_Applications!$A:$A,0)),"Not Found")</f>
        <v>CUS93886</v>
      </c>
    </row>
    <row r="7" spans="1:5" x14ac:dyDescent="0.25">
      <c r="A7" s="9" t="s">
        <v>1727</v>
      </c>
      <c r="B7" t="str">
        <f>IFERROR(_xlfn.XLOOKUP(C5,Loan_Applications!$A:$A,Loan_Applications!$C:$C),"Not Found")</f>
        <v>BR006</v>
      </c>
      <c r="E7" t="str">
        <f>IFERROR(INDEX(Loan_Applications!$C:$C,MATCH($C$5,Loan_Applications!$A:$A,0)),"Not Found")</f>
        <v>BR006</v>
      </c>
    </row>
    <row r="8" spans="1:5" x14ac:dyDescent="0.25">
      <c r="A8" s="9" t="s">
        <v>1728</v>
      </c>
      <c r="B8" t="str">
        <f>IFERROR(_xlfn.XLOOKUP(C5,Loan_Applications!$A:$A,Loan_Applications!$S:$S),"Not Found")</f>
        <v>NPL</v>
      </c>
      <c r="E8" t="str">
        <f>IFERROR(INDEX(Loan_Applications!$S:$S,MATCH($C$5,Loan_Applications!$A:$A,0)),"Not Found")</f>
        <v>NPL</v>
      </c>
    </row>
    <row r="9" spans="1:5" x14ac:dyDescent="0.25">
      <c r="C9" t="str">
        <f>_xlfn.XLOOKUP(_xlfn.XLOOKUP($C$5, Loan_Applications!$A:$A, Loan_Applications!$C:$C, "Not Found"), Branches!$A:$A, Branches!$C:$C, "Not Found")</f>
        <v>Central</v>
      </c>
    </row>
    <row r="10" spans="1:5" x14ac:dyDescent="0.25">
      <c r="A10" s="8" t="s">
        <v>1729</v>
      </c>
      <c r="C10" t="str">
        <f>_xlfn.XLOOKUP(_xlfn.XLOOKUP($C$5, Loan_Applications!$A:$A, Loan_Applications!$C:$C, "Not Found"), Branches!$A:$A, Branches!$D:$D, "Not Found")</f>
        <v>Wakiso</v>
      </c>
    </row>
    <row r="11" spans="1:5" x14ac:dyDescent="0.25">
      <c r="A11" s="9" t="s">
        <v>1730</v>
      </c>
    </row>
    <row r="12" spans="1:5" x14ac:dyDescent="0.25">
      <c r="A12" s="9" t="s">
        <v>1731</v>
      </c>
      <c r="C12">
        <f>SUMIFS(Loan_Applications!$R:$R,Loan_Applications!$T:$T,1)</f>
        <v>36381000000</v>
      </c>
    </row>
    <row r="13" spans="1:5" x14ac:dyDescent="0.25">
      <c r="A13" s="9" t="s">
        <v>1732</v>
      </c>
      <c r="C13">
        <f>COUNTIFS(Loan_Applications!$C:$C,"BR001",Loan_Applications!$S:$S,"Active")</f>
        <v>3</v>
      </c>
    </row>
    <row r="14" spans="1:5" x14ac:dyDescent="0.25">
      <c r="A14" s="9" t="s">
        <v>1733</v>
      </c>
      <c r="C14">
        <f>AVERAGEIFS(Loan_Applications!$P:$P,Loan_Applications!$F:$F,"Agriculture")</f>
        <v>830125000</v>
      </c>
    </row>
    <row r="15" spans="1:5" x14ac:dyDescent="0.25">
      <c r="C15">
        <f>SUMPRODUCT(Loan_Applications!$P:$P,Loan_Applications!$Q:$Q)/SUM(Loan_Applications!$P:$P)</f>
        <v>18.581321389272041</v>
      </c>
    </row>
    <row r="16" spans="1:5" x14ac:dyDescent="0.25">
      <c r="A16" s="8" t="s">
        <v>1734</v>
      </c>
    </row>
    <row r="17" spans="1:4" x14ac:dyDescent="0.25">
      <c r="A17" s="9" t="s">
        <v>1735</v>
      </c>
      <c r="C17" s="10">
        <v>15000000</v>
      </c>
      <c r="D17" t="str" cm="1">
        <f t="array" ref="D17">_xlfn.IFS(C17&lt;5000000,"Micro",C17&lt;=50000000,"Small",C17&lt;=500000000,"Medium",C17&gt;500000000,"Large")</f>
        <v>Small</v>
      </c>
    </row>
    <row r="19" spans="1:4" x14ac:dyDescent="0.25">
      <c r="A19" s="8" t="s">
        <v>1736</v>
      </c>
    </row>
    <row r="20" spans="1:4" x14ac:dyDescent="0.25">
      <c r="A20" s="17" t="s">
        <v>1737</v>
      </c>
      <c r="B20" t="str">
        <f>UPPER(TRIM(LEFT(PROPER(B2),FIND(" ",PROPER(B2)&amp;" ")-1)))</f>
        <v/>
      </c>
    </row>
    <row r="22" spans="1:4" x14ac:dyDescent="0.25">
      <c r="A22" s="8" t="s">
        <v>1738</v>
      </c>
    </row>
    <row r="23" spans="1:4" x14ac:dyDescent="0.25">
      <c r="A23" s="17" t="s">
        <v>1739</v>
      </c>
      <c r="B23">
        <f>IFERROR(_xlfn.XLOOKUP(C5,Loan_Applications!$A:$A,Loan_Applications!$R:$R),"Not Found")</f>
        <v>1624000000</v>
      </c>
    </row>
    <row r="25" spans="1:4" x14ac:dyDescent="0.25">
      <c r="A25" s="8" t="s">
        <v>1740</v>
      </c>
    </row>
    <row r="26" spans="1:4" x14ac:dyDescent="0.25">
      <c r="A26" s="17" t="s">
        <v>1741</v>
      </c>
    </row>
    <row r="28" spans="1:4" x14ac:dyDescent="0.25">
      <c r="A28" s="15"/>
    </row>
  </sheetData>
  <pageMargins left="0.75" right="0.75" top="1" bottom="1" header="0.5" footer="0.5"/>
  <pageSetup paperSize="9" orientation="portrait" r:id="rId1"/>
</worksheet>
</file>

<file path=docMetadata/LabelInfo.xml><?xml version="1.0" encoding="utf-8"?>
<clbl:labelList xmlns:clbl="http://schemas.microsoft.com/office/2020/mipLabelMetadata">
  <clbl:label id="{f86bbf46-6e1a-465c-a69e-0b720dd91b76}" enabled="1" method="Privileged" siteId="{8f08ef26-4a12-4b4b-aecc-abd9243d106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READ_ME</vt:lpstr>
      <vt:lpstr>Branches</vt:lpstr>
      <vt:lpstr>Customers</vt:lpstr>
      <vt:lpstr>controls</vt:lpstr>
      <vt:lpstr>filtered Loan_Applications</vt:lpstr>
      <vt:lpstr>Loan_Applications</vt:lpstr>
      <vt:lpstr>Repayments</vt:lpstr>
      <vt:lpstr>Excel_Tasks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G.G</cp:lastModifiedBy>
  <dcterms:created xsi:type="dcterms:W3CDTF">2026-03-11T13:13:00Z</dcterms:created>
  <dcterms:modified xsi:type="dcterms:W3CDTF">2026-05-11T15:36:42Z</dcterms:modified>
</cp:coreProperties>
</file>